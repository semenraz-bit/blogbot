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106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65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4 от 20.10.2025 на 22 227 089,62.pdf</t>
        </is>
      </c>
      <c r="B2" s="2" t="inlineStr">
        <is>
          <t>КС-2 №5</t>
        </is>
      </c>
      <c r="C2" s="2" t="inlineStr">
        <is>
          <t>БГ-1-050525-МП</t>
        </is>
      </c>
      <c r="D2" s="3" t="inlineStr">
        <is>
          <t>Смета Nº 02-9, Устройство монолитных железобетонных конструкций выше 0,000 (+18,220-+30,020 7-10 этаж)</t>
        </is>
      </c>
      <c r="E2" s="3" t="inlineStr">
        <is>
          <t>Арматура Ø28 A500, с учетом доставки</t>
        </is>
      </c>
      <c r="F2" s="2" t="inlineStr">
        <is>
          <t>Арматура A500 Ø28</t>
        </is>
      </c>
      <c r="G2" s="2" t="inlineStr">
        <is>
          <t>A500</t>
        </is>
      </c>
      <c r="H2" s="4" t="n">
        <v>28</v>
      </c>
      <c r="I2" s="5" t="n">
        <v>1.192</v>
      </c>
      <c r="J2" s="6" t="n">
        <v>49083.33</v>
      </c>
      <c r="K2" s="6" t="n">
        <v>43333.33</v>
      </c>
      <c r="L2" s="6" t="n">
        <v>52000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Нет</t>
        </is>
      </c>
      <c r="Q2" s="8" t="inlineStr">
        <is>
          <t>Удешевление</t>
        </is>
      </c>
      <c r="R2" s="9" t="inlineStr">
        <is>
          <t>Средняя: количество из КС-2, цена восстановлена из цены с НДС</t>
        </is>
      </c>
    </row>
    <row r="3">
      <c r="A3" s="2" t="inlineStr">
        <is>
          <t>КС 2,3 № 4 от 20.10.2025 на 22 227 089,62.pdf</t>
        </is>
      </c>
      <c r="B3" s="2" t="inlineStr">
        <is>
          <t>КС-2 №5</t>
        </is>
      </c>
      <c r="C3" s="2" t="inlineStr">
        <is>
          <t>БГ-1-050525-МП</t>
        </is>
      </c>
      <c r="D3" s="3" t="inlineStr">
        <is>
          <t>Смета Nº 02-9, Устройство монолитных железобетонных конструкций выше 0,000 (+18,220-+30,020 7-10 этаж)</t>
        </is>
      </c>
      <c r="E3" s="3" t="inlineStr">
        <is>
          <t>Арматура 025 A500, с учетом доставки</t>
        </is>
      </c>
      <c r="F3" s="2" t="inlineStr">
        <is>
          <t>Арматура A500 Ø25</t>
        </is>
      </c>
      <c r="G3" s="2" t="inlineStr">
        <is>
          <t>A500</t>
        </is>
      </c>
      <c r="H3" s="4" t="n">
        <v>25</v>
      </c>
      <c r="I3" s="5" t="n">
        <v>2.295</v>
      </c>
      <c r="J3" s="6" t="n">
        <v>49083.33</v>
      </c>
      <c r="K3" s="6" t="n">
        <v>43333.33</v>
      </c>
      <c r="L3" s="6" t="n">
        <v>52000</v>
      </c>
      <c r="M3" s="6">
        <f>I3*J3</f>
        <v/>
      </c>
      <c r="N3" s="6">
        <f>I3*K3</f>
        <v/>
      </c>
      <c r="O3" s="6">
        <f>N3-M3</f>
        <v/>
      </c>
      <c r="P3" s="7" t="inlineStr">
        <is>
          <t>Нет</t>
        </is>
      </c>
      <c r="Q3" s="8" t="inlineStr">
        <is>
          <t>Удешевление</t>
        </is>
      </c>
      <c r="R3" s="9" t="inlineStr">
        <is>
          <t>Средняя: количество из КС-2, цена восстановлена OCR</t>
        </is>
      </c>
    </row>
    <row r="4">
      <c r="A4" s="2" t="inlineStr">
        <is>
          <t>КС 2,3 № 4 от 20.10.2025 на 22 227 089,62.pdf</t>
        </is>
      </c>
      <c r="B4" s="2" t="inlineStr">
        <is>
          <t>КС-2 №5</t>
        </is>
      </c>
      <c r="C4" s="2" t="inlineStr">
        <is>
          <t>БГ-1-050525-МП</t>
        </is>
      </c>
      <c r="D4" s="3" t="inlineStr">
        <is>
          <t>Смета Nº 02-9, Устройство монолитных железобетонных конструкций выше 0,000 (+18,220-+30,020 7-10 этаж)</t>
        </is>
      </c>
      <c r="E4" s="3" t="inlineStr">
        <is>
          <t>Арматура 020 A500, с учетом доставки</t>
        </is>
      </c>
      <c r="F4" s="2" t="inlineStr">
        <is>
          <t>Арматура A500 Ø20</t>
        </is>
      </c>
      <c r="G4" s="2" t="inlineStr">
        <is>
          <t>A500</t>
        </is>
      </c>
      <c r="H4" s="4" t="n">
        <v>20</v>
      </c>
      <c r="I4" s="5" t="n">
        <v>4.069</v>
      </c>
      <c r="J4" s="6" t="n">
        <v>49083.33</v>
      </c>
      <c r="K4" s="6" t="n">
        <v>43333.33</v>
      </c>
      <c r="L4" s="6" t="n">
        <v>52000</v>
      </c>
      <c r="M4" s="6">
        <f>I4*J4</f>
        <v/>
      </c>
      <c r="N4" s="6">
        <f>I4*K4</f>
        <v/>
      </c>
      <c r="O4" s="6">
        <f>N4-M4</f>
        <v/>
      </c>
      <c r="P4" s="7" t="inlineStr">
        <is>
          <t>Нет</t>
        </is>
      </c>
      <c r="Q4" s="8" t="inlineStr">
        <is>
          <t>Удешевление</t>
        </is>
      </c>
      <c r="R4" s="9" t="inlineStr">
        <is>
          <t>Средняя: количество из КС-2, цена восстановлена OCR</t>
        </is>
      </c>
    </row>
    <row r="5">
      <c r="A5" s="2" t="inlineStr">
        <is>
          <t>КС 2,3 № 4 от 20.10.2025 на 22 227 089,62.pdf</t>
        </is>
      </c>
      <c r="B5" s="2" t="inlineStr">
        <is>
          <t>КС-2 №5</t>
        </is>
      </c>
      <c r="C5" s="2" t="inlineStr">
        <is>
          <t>БГ-1-050525-МП</t>
        </is>
      </c>
      <c r="D5" s="3" t="inlineStr">
        <is>
          <t>Смета Nº 02-9, Устройство монолитных железобетонных конструкций выше 0,000 (+18,220-+30,020 7-10 этаж)</t>
        </is>
      </c>
      <c r="E5" s="3" t="inlineStr">
        <is>
          <t>Арматура Ø12 А500, с учетом доставки</t>
        </is>
      </c>
      <c r="F5" s="2" t="inlineStr">
        <is>
          <t>Арматура A500 Ø12</t>
        </is>
      </c>
      <c r="G5" s="2" t="inlineStr">
        <is>
          <t>A500</t>
        </is>
      </c>
      <c r="H5" s="4" t="n">
        <v>12</v>
      </c>
      <c r="I5" s="5" t="n">
        <v>2.025</v>
      </c>
      <c r="J5" s="6" t="n">
        <v>49500</v>
      </c>
      <c r="K5" s="6" t="n">
        <v>43750</v>
      </c>
      <c r="L5" s="6" t="n">
        <v>52500</v>
      </c>
      <c r="M5" s="6">
        <f>I5*J5</f>
        <v/>
      </c>
      <c r="N5" s="6">
        <f>I5*K5</f>
        <v/>
      </c>
      <c r="O5" s="6">
        <f>N5-M5</f>
        <v/>
      </c>
      <c r="P5" s="7" t="inlineStr">
        <is>
          <t>Нет</t>
        </is>
      </c>
      <c r="Q5" s="8" t="inlineStr">
        <is>
          <t>Удешевление</t>
        </is>
      </c>
      <c r="R5" s="9" t="inlineStr">
        <is>
          <t>Средняя: количество из КС-2, цена восстановлена OCR</t>
        </is>
      </c>
    </row>
    <row r="6">
      <c r="A6" s="2" t="inlineStr">
        <is>
          <t>КС 2,3 № 4 от 20.10.2025 на 22 227 089,62.pdf</t>
        </is>
      </c>
      <c r="B6" s="2" t="inlineStr">
        <is>
          <t>КС-2 №5</t>
        </is>
      </c>
      <c r="C6" s="2" t="inlineStr">
        <is>
          <t>БГ-1-050525-МП</t>
        </is>
      </c>
      <c r="D6" s="3" t="inlineStr">
        <is>
          <t>Смета Nº 02-9, Устройство монолитных железобетонных конструкций выше 0,000 (+18,220-+30,020 7-10 этаж)</t>
        </is>
      </c>
      <c r="E6" s="3" t="inlineStr">
        <is>
          <t>Арматура 10 А500, с учетом доставки</t>
        </is>
      </c>
      <c r="F6" s="2" t="inlineStr">
        <is>
          <t>Арматура A500 Ø10</t>
        </is>
      </c>
      <c r="G6" s="2" t="inlineStr">
        <is>
          <t>A500</t>
        </is>
      </c>
      <c r="H6" s="4" t="n">
        <v>10</v>
      </c>
      <c r="I6" s="5" t="n">
        <v>1.906</v>
      </c>
      <c r="J6" s="6" t="n">
        <v>52000</v>
      </c>
      <c r="K6" s="6" t="n">
        <v>45000</v>
      </c>
      <c r="L6" s="6" t="n">
        <v>54000</v>
      </c>
      <c r="M6" s="6">
        <f>I6*J6</f>
        <v/>
      </c>
      <c r="N6" s="6">
        <f>I6*K6</f>
        <v/>
      </c>
      <c r="O6" s="6">
        <f>N6-M6</f>
        <v/>
      </c>
      <c r="P6" s="7" t="inlineStr">
        <is>
          <t>Нет</t>
        </is>
      </c>
      <c r="Q6" s="8" t="inlineStr">
        <is>
          <t>Удешевление</t>
        </is>
      </c>
      <c r="R6" s="9" t="inlineStr">
        <is>
          <t>Средняя: количество из КС-2, цена восстановлена OCR</t>
        </is>
      </c>
    </row>
    <row r="7">
      <c r="A7" s="2" t="inlineStr">
        <is>
          <t>КС 2,3 № 4 от 20.10.2025 на 22 227 089,62.pdf</t>
        </is>
      </c>
      <c r="B7" s="2" t="inlineStr">
        <is>
          <t>КС-2 №5</t>
        </is>
      </c>
      <c r="C7" s="2" t="inlineStr">
        <is>
          <t>БГ-1-050525-МП</t>
        </is>
      </c>
      <c r="D7" s="3" t="inlineStr">
        <is>
          <t>Смета Nº 02-9, Устройство монолитных железобетонных конструкций выше 0,000 (+18,220-+30,020 7-10 этаж)</t>
        </is>
      </c>
      <c r="E7" s="3" t="inlineStr">
        <is>
          <t>Арматура 8 А500, с учетом доставки</t>
        </is>
      </c>
      <c r="F7" s="2" t="inlineStr">
        <is>
          <t>Арматура A500 Ø8</t>
        </is>
      </c>
      <c r="G7" s="2" t="inlineStr">
        <is>
          <t>A500</t>
        </is>
      </c>
      <c r="H7" s="4" t="n">
        <v>8</v>
      </c>
      <c r="I7" s="5" t="n">
        <v>0.081</v>
      </c>
      <c r="J7" s="6" t="n">
        <v>56666.67</v>
      </c>
      <c r="K7" s="6" t="n">
        <v>49166.67</v>
      </c>
      <c r="L7" s="6" t="n">
        <v>59000</v>
      </c>
      <c r="M7" s="6">
        <f>I7*J7</f>
        <v/>
      </c>
      <c r="N7" s="6">
        <f>I7*K7</f>
        <v/>
      </c>
      <c r="O7" s="6">
        <f>N7-M7</f>
        <v/>
      </c>
      <c r="P7" s="7" t="inlineStr">
        <is>
          <t>Нет</t>
        </is>
      </c>
      <c r="Q7" s="8" t="inlineStr">
        <is>
          <t>Удешевление</t>
        </is>
      </c>
      <c r="R7" s="9" t="inlineStr">
        <is>
          <t>Средняя: количество из КС-2, цена восстановлена OCR</t>
        </is>
      </c>
    </row>
    <row r="8">
      <c r="A8" s="2" t="inlineStr">
        <is>
          <t>КС 2,3 № 4 от 20.10.2025 на 22 227 089,62.pdf</t>
        </is>
      </c>
      <c r="B8" s="2" t="inlineStr">
        <is>
          <t>КС-2 №5</t>
        </is>
      </c>
      <c r="C8" s="2" t="inlineStr">
        <is>
          <t>БГ-1-050525-МП</t>
        </is>
      </c>
      <c r="D8" s="3" t="inlineStr">
        <is>
          <t>Смета Nº 02-9, Устройство монолитных железобетонных конструкций выше 0,000 (+18,220-+30,020 7-10 этаж)</t>
        </is>
      </c>
      <c r="E8" s="3" t="inlineStr">
        <is>
          <t>Арматура Ø8 А240, с учетом доставки</t>
        </is>
      </c>
      <c r="F8" s="2" t="inlineStr">
        <is>
          <t>Арматура A240 Ø8</t>
        </is>
      </c>
      <c r="G8" s="2" t="inlineStr">
        <is>
          <t>A240</t>
        </is>
      </c>
      <c r="H8" s="4" t="n">
        <v>8</v>
      </c>
      <c r="I8" s="5" t="n">
        <v>0.259</v>
      </c>
      <c r="J8" s="6" t="n">
        <v>56166.67</v>
      </c>
      <c r="K8" s="6" t="n">
        <v>49166.67</v>
      </c>
      <c r="L8" s="6" t="n">
        <v>59000</v>
      </c>
      <c r="M8" s="6">
        <f>I8*J8</f>
        <v/>
      </c>
      <c r="N8" s="6">
        <f>I8*K8</f>
        <v/>
      </c>
      <c r="O8" s="6">
        <f>N8-M8</f>
        <v/>
      </c>
      <c r="P8" s="7" t="inlineStr">
        <is>
          <t>Нет</t>
        </is>
      </c>
      <c r="Q8" s="8" t="inlineStr">
        <is>
          <t>Удешевление</t>
        </is>
      </c>
      <c r="R8" s="9" t="inlineStr">
        <is>
          <t>Высокая: количество из КС-2, цена из расчета</t>
        </is>
      </c>
    </row>
    <row r="9">
      <c r="A9" s="2" t="inlineStr">
        <is>
          <t>КС 2,3 № 4 от 20.10.2025 на 22 227 089,62.pdf</t>
        </is>
      </c>
      <c r="B9" s="2" t="inlineStr">
        <is>
          <t>КС-2 №5</t>
        </is>
      </c>
      <c r="C9" s="2" t="inlineStr">
        <is>
          <t>БГ-1-050525-МП</t>
        </is>
      </c>
      <c r="D9" s="3" t="inlineStr">
        <is>
          <t>Основной раздел</t>
        </is>
      </c>
      <c r="E9" s="3" t="inlineStr">
        <is>
          <t>Арматура 020 А500, с учетом доставки</t>
        </is>
      </c>
      <c r="F9" s="2" t="inlineStr">
        <is>
          <t>Арматура A500 Ø20</t>
        </is>
      </c>
      <c r="G9" s="2" t="inlineStr">
        <is>
          <t>A500</t>
        </is>
      </c>
      <c r="H9" s="4" t="n">
        <v>20</v>
      </c>
      <c r="I9" s="5" t="n">
        <v>2.287</v>
      </c>
      <c r="J9" s="6" t="n">
        <v>49083.33</v>
      </c>
      <c r="K9" s="6" t="n">
        <v>43333.33</v>
      </c>
      <c r="L9" s="6" t="n">
        <v>52000</v>
      </c>
      <c r="M9" s="6">
        <f>I9*J9</f>
        <v/>
      </c>
      <c r="N9" s="6">
        <f>I9*K9</f>
        <v/>
      </c>
      <c r="O9" s="6">
        <f>N9-M9</f>
        <v/>
      </c>
      <c r="P9" s="7" t="inlineStr">
        <is>
          <t>Нет</t>
        </is>
      </c>
      <c r="Q9" s="8" t="inlineStr">
        <is>
          <t>Удешевление</t>
        </is>
      </c>
      <c r="R9" s="9" t="inlineStr">
        <is>
          <t>Средняя: количество из КС-2, цена восстановлена из цены с НДС</t>
        </is>
      </c>
    </row>
    <row r="10">
      <c r="A10" s="2" t="inlineStr">
        <is>
          <t>КС 2,3 № 4 от 20.10.2025 на 22 227 089,62.pdf</t>
        </is>
      </c>
      <c r="B10" s="2" t="inlineStr">
        <is>
          <t>КС-2 №5</t>
        </is>
      </c>
      <c r="C10" s="2" t="inlineStr">
        <is>
          <t>БГ-1-050525-МП</t>
        </is>
      </c>
      <c r="D10" s="3" t="inlineStr">
        <is>
          <t>Основной раздел</t>
        </is>
      </c>
      <c r="E10" s="3" t="inlineStr">
        <is>
          <t>Арматура 016 А500, с учетом доставки</t>
        </is>
      </c>
      <c r="F10" s="2" t="inlineStr">
        <is>
          <t>Арматура A500 Ø16</t>
        </is>
      </c>
      <c r="G10" s="2" t="inlineStr">
        <is>
          <t>A500</t>
        </is>
      </c>
      <c r="H10" s="4" t="n">
        <v>16</v>
      </c>
      <c r="I10" s="5" t="n">
        <v>9.515000000000001</v>
      </c>
      <c r="J10" s="6" t="n">
        <v>49083.33</v>
      </c>
      <c r="K10" s="6" t="n">
        <v>43333.33</v>
      </c>
      <c r="L10" s="6" t="n">
        <v>52000</v>
      </c>
      <c r="M10" s="6">
        <f>I10*J10</f>
        <v/>
      </c>
      <c r="N10" s="6">
        <f>I10*K10</f>
        <v/>
      </c>
      <c r="O10" s="6">
        <f>N10-M10</f>
        <v/>
      </c>
      <c r="P10" s="7" t="inlineStr">
        <is>
          <t>Нет</t>
        </is>
      </c>
      <c r="Q10" s="8" t="inlineStr">
        <is>
          <t>Удешевление</t>
        </is>
      </c>
      <c r="R10" s="9" t="inlineStr">
        <is>
          <t>Средняя: количество из КС-2, цена восстановлена из цены с НДС</t>
        </is>
      </c>
    </row>
    <row r="11">
      <c r="A11" s="2" t="inlineStr">
        <is>
          <t>КС 2,3 № 4 от 20.10.2025 на 22 227 089,62.pdf</t>
        </is>
      </c>
      <c r="B11" s="2" t="inlineStr">
        <is>
          <t>КС-2 №5</t>
        </is>
      </c>
      <c r="C11" s="2" t="inlineStr">
        <is>
          <t>БГ-1-050525-МП</t>
        </is>
      </c>
      <c r="D11" s="3" t="inlineStr">
        <is>
          <t>Основной раздел</t>
        </is>
      </c>
      <c r="E11" s="3" t="inlineStr">
        <is>
          <t>Арматура Ø12 А500, с учетом доставки</t>
        </is>
      </c>
      <c r="F11" s="2" t="inlineStr">
        <is>
          <t>Арматура A500 Ø12</t>
        </is>
      </c>
      <c r="G11" s="2" t="inlineStr">
        <is>
          <t>A500</t>
        </is>
      </c>
      <c r="H11" s="4" t="n">
        <v>12</v>
      </c>
      <c r="I11" s="5" t="n">
        <v>0.377</v>
      </c>
      <c r="J11" s="6" t="n">
        <v>49500</v>
      </c>
      <c r="K11" s="6" t="n">
        <v>43750</v>
      </c>
      <c r="L11" s="6" t="n">
        <v>52500</v>
      </c>
      <c r="M11" s="6">
        <f>I11*J11</f>
        <v/>
      </c>
      <c r="N11" s="6">
        <f>I11*K11</f>
        <v/>
      </c>
      <c r="O11" s="6">
        <f>N11-M11</f>
        <v/>
      </c>
      <c r="P11" s="7" t="inlineStr">
        <is>
          <t>Нет</t>
        </is>
      </c>
      <c r="Q11" s="8" t="inlineStr">
        <is>
          <t>Удешевление</t>
        </is>
      </c>
      <c r="R11" s="9" t="inlineStr">
        <is>
          <t>Средняя: количество из КС-2, цена восстановлена из цены с НДС</t>
        </is>
      </c>
    </row>
    <row r="12">
      <c r="A12" s="2" t="inlineStr">
        <is>
          <t>КС 2,3 № 4 от 20.10.2025 на 22 227 089,62.pdf</t>
        </is>
      </c>
      <c r="B12" s="2" t="inlineStr">
        <is>
          <t>КС-2 №5</t>
        </is>
      </c>
      <c r="C12" s="2" t="inlineStr">
        <is>
          <t>БГ-1-050525-МП</t>
        </is>
      </c>
      <c r="D12" s="3" t="inlineStr">
        <is>
          <t>Основной раздел</t>
        </is>
      </c>
      <c r="E12" s="3" t="inlineStr">
        <is>
          <t>Арматура 010 ASO0, с учетом доставки</t>
        </is>
      </c>
      <c r="F12" s="2" t="inlineStr">
        <is>
          <t>Арматура A500 Ø10</t>
        </is>
      </c>
      <c r="G12" s="2" t="inlineStr">
        <is>
          <t>A500</t>
        </is>
      </c>
      <c r="H12" s="4" t="n">
        <v>10</v>
      </c>
      <c r="I12" s="5" t="n">
        <v>12.205</v>
      </c>
      <c r="J12" s="6" t="n">
        <v>52000</v>
      </c>
      <c r="K12" s="6" t="n">
        <v>45000</v>
      </c>
      <c r="L12" s="6" t="n">
        <v>54000</v>
      </c>
      <c r="M12" s="6">
        <f>I12*J12</f>
        <v/>
      </c>
      <c r="N12" s="6">
        <f>I12*K12</f>
        <v/>
      </c>
      <c r="O12" s="6">
        <f>N12-M12</f>
        <v/>
      </c>
      <c r="P12" s="7" t="inlineStr">
        <is>
          <t>Нет</t>
        </is>
      </c>
      <c r="Q12" s="8" t="inlineStr">
        <is>
          <t>Удешевление</t>
        </is>
      </c>
      <c r="R12" s="9" t="inlineStr">
        <is>
          <t>Средняя: количество из КС-2, цена восстановлена из цены с НДС</t>
        </is>
      </c>
    </row>
    <row r="13">
      <c r="A13" s="2" t="inlineStr">
        <is>
          <t>КС 2,3 № 4 от 20.10.2025 на 22 227 089,62.pdf</t>
        </is>
      </c>
      <c r="B13" s="2" t="inlineStr">
        <is>
          <t>КС-2 №5</t>
        </is>
      </c>
      <c r="C13" s="2" t="inlineStr">
        <is>
          <t>БГ-1-050525-МП</t>
        </is>
      </c>
      <c r="D13" s="3" t="inlineStr">
        <is>
          <t>Основной раздел</t>
        </is>
      </c>
      <c r="E13" s="3" t="inlineStr">
        <is>
          <t>Арматура 08 А500, с учетом доставки</t>
        </is>
      </c>
      <c r="F13" s="2" t="inlineStr">
        <is>
          <t>Арматура A500 Ø8</t>
        </is>
      </c>
      <c r="G13" s="2" t="inlineStr">
        <is>
          <t>A500</t>
        </is>
      </c>
      <c r="H13" s="4" t="n">
        <v>8</v>
      </c>
      <c r="I13" s="5" t="n">
        <v>0.924</v>
      </c>
      <c r="J13" s="6" t="n">
        <v>56666.67</v>
      </c>
      <c r="K13" s="6" t="n">
        <v>49166.67</v>
      </c>
      <c r="L13" s="6" t="n">
        <v>59000</v>
      </c>
      <c r="M13" s="6">
        <f>I13*J13</f>
        <v/>
      </c>
      <c r="N13" s="6">
        <f>I13*K13</f>
        <v/>
      </c>
      <c r="O13" s="6">
        <f>N13-M13</f>
        <v/>
      </c>
      <c r="P13" s="7" t="inlineStr">
        <is>
          <t>Нет</t>
        </is>
      </c>
      <c r="Q13" s="8" t="inlineStr">
        <is>
          <t>Удешевление</t>
        </is>
      </c>
      <c r="R13" s="9" t="inlineStr">
        <is>
          <t>Средняя: количество из КС-2, цена восстановлена из цены с НДС</t>
        </is>
      </c>
    </row>
    <row r="14">
      <c r="A14" s="2" t="inlineStr">
        <is>
          <t>КС 2,3 № 4 от 20.10.2025 на 22 227 089,62.pdf</t>
        </is>
      </c>
      <c r="B14" s="2" t="inlineStr">
        <is>
          <t>КС-2 №5</t>
        </is>
      </c>
      <c r="C14" s="2" t="inlineStr">
        <is>
          <t>БГ-1-050525-МП</t>
        </is>
      </c>
      <c r="D14" s="3" t="inlineStr">
        <is>
          <t>Основной раздел</t>
        </is>
      </c>
      <c r="E14" s="3" t="inlineStr">
        <is>
          <t>Арматура 08 А240, с учетом доставки</t>
        </is>
      </c>
      <c r="F14" s="2" t="inlineStr">
        <is>
          <t>Арматура A240 Ø8</t>
        </is>
      </c>
      <c r="G14" s="2" t="inlineStr">
        <is>
          <t>A240</t>
        </is>
      </c>
      <c r="H14" s="4" t="n">
        <v>8</v>
      </c>
      <c r="I14" s="5" t="n">
        <v>0.269</v>
      </c>
      <c r="J14" s="6" t="n">
        <v>56166.67</v>
      </c>
      <c r="K14" s="6" t="n">
        <v>49166.67</v>
      </c>
      <c r="L14" s="6" t="n">
        <v>59000</v>
      </c>
      <c r="M14" s="6">
        <f>I14*J14</f>
        <v/>
      </c>
      <c r="N14" s="6">
        <f>I14*K14</f>
        <v/>
      </c>
      <c r="O14" s="6">
        <f>N14-M14</f>
        <v/>
      </c>
      <c r="P14" s="7" t="inlineStr">
        <is>
          <t>Нет</t>
        </is>
      </c>
      <c r="Q14" s="8" t="inlineStr">
        <is>
          <t>Удешевление</t>
        </is>
      </c>
      <c r="R14" s="9" t="inlineStr">
        <is>
          <t>Высокая: количество из КС-2, цена из расчета</t>
        </is>
      </c>
    </row>
    <row r="15">
      <c r="A15" s="2" t="inlineStr">
        <is>
          <t>КС 2,3 № 4 от 20.10.2025 на 22 227 089,62.pdf</t>
        </is>
      </c>
      <c r="B15" s="2" t="inlineStr">
        <is>
          <t>КС-2 №5</t>
        </is>
      </c>
      <c r="C15" s="2" t="inlineStr">
        <is>
          <t>БГ-1-050525-МП</t>
        </is>
      </c>
      <c r="D15" s="3" t="inlineStr">
        <is>
          <t>Основной раздел</t>
        </is>
      </c>
      <c r="E15" s="3" t="inlineStr">
        <is>
          <t>Арматура 028 АSO0, с учетом доставки</t>
        </is>
      </c>
      <c r="F15" s="2" t="inlineStr">
        <is>
          <t>Арматура A500 Ø28</t>
        </is>
      </c>
      <c r="G15" s="2" t="inlineStr">
        <is>
          <t>A500</t>
        </is>
      </c>
      <c r="H15" s="4" t="n">
        <v>28</v>
      </c>
      <c r="I15" s="5" t="n">
        <v>1.192</v>
      </c>
      <c r="J15" s="6" t="n">
        <v>49083.33</v>
      </c>
      <c r="K15" s="6" t="n">
        <v>43333.33</v>
      </c>
      <c r="L15" s="6" t="n">
        <v>52000</v>
      </c>
      <c r="M15" s="6">
        <f>I15*J15</f>
        <v/>
      </c>
      <c r="N15" s="6">
        <f>I15*K15</f>
        <v/>
      </c>
      <c r="O15" s="6">
        <f>N15-M15</f>
        <v/>
      </c>
      <c r="P15" s="7" t="inlineStr">
        <is>
          <t>Нет</t>
        </is>
      </c>
      <c r="Q15" s="8" t="inlineStr">
        <is>
          <t>Удешевление</t>
        </is>
      </c>
      <c r="R15" s="9" t="inlineStr">
        <is>
          <t>Средняя: количество из КС-2, цена восстановлена из цены с НДС</t>
        </is>
      </c>
    </row>
    <row r="16">
      <c r="A16" s="2" t="inlineStr">
        <is>
          <t>КС 2,3 № 4 от 20.10.2025 на 22 227 089,62.pdf</t>
        </is>
      </c>
      <c r="B16" s="2" t="inlineStr">
        <is>
          <t>КС-2 №5</t>
        </is>
      </c>
      <c r="C16" s="2" t="inlineStr">
        <is>
          <t>БГ-1-050525-МП</t>
        </is>
      </c>
      <c r="D16" s="3" t="inlineStr">
        <is>
          <t>Основной раздел</t>
        </is>
      </c>
      <c r="E16" s="3" t="inlineStr">
        <is>
          <t>Арматура 025 АS00, с учетом доставки</t>
        </is>
      </c>
      <c r="F16" s="2" t="inlineStr">
        <is>
          <t>Арматура A500 Ø25</t>
        </is>
      </c>
      <c r="G16" s="2" t="inlineStr">
        <is>
          <t>A500</t>
        </is>
      </c>
      <c r="H16" s="4" t="n">
        <v>25</v>
      </c>
      <c r="I16" s="5" t="n">
        <v>2.295</v>
      </c>
      <c r="J16" s="6" t="n">
        <v>49083.33</v>
      </c>
      <c r="K16" s="6" t="n">
        <v>43333.33</v>
      </c>
      <c r="L16" s="6" t="n">
        <v>52000</v>
      </c>
      <c r="M16" s="6">
        <f>I16*J16</f>
        <v/>
      </c>
      <c r="N16" s="6">
        <f>I16*K16</f>
        <v/>
      </c>
      <c r="O16" s="6">
        <f>N16-M16</f>
        <v/>
      </c>
      <c r="P16" s="7" t="inlineStr">
        <is>
          <t>Нет</t>
        </is>
      </c>
      <c r="Q16" s="8" t="inlineStr">
        <is>
          <t>Удешевление</t>
        </is>
      </c>
      <c r="R16" s="9" t="inlineStr">
        <is>
          <t>Средняя: количество из КС-2, цена восстановлена из цены с НДС</t>
        </is>
      </c>
    </row>
    <row r="17">
      <c r="A17" s="2" t="inlineStr">
        <is>
          <t>КС 2,3 № 4 от 20.10.2025 на 22 227 089,62.pdf</t>
        </is>
      </c>
      <c r="B17" s="2" t="inlineStr">
        <is>
          <t>КС-2 №5</t>
        </is>
      </c>
      <c r="C17" s="2" t="inlineStr">
        <is>
          <t>БГ-1-050525-МП</t>
        </is>
      </c>
      <c r="D17" s="3" t="inlineStr">
        <is>
          <t>Основной раздел</t>
        </is>
      </c>
      <c r="E17" s="3" t="inlineStr">
        <is>
          <t>Арматура Ø20 А500, с учетом доставки</t>
        </is>
      </c>
      <c r="F17" s="2" t="inlineStr">
        <is>
          <t>Арматура A500 Ø20</t>
        </is>
      </c>
      <c r="G17" s="2" t="inlineStr">
        <is>
          <t>A500</t>
        </is>
      </c>
      <c r="H17" s="4" t="n">
        <v>20</v>
      </c>
      <c r="I17" s="5" t="n">
        <v>4.073</v>
      </c>
      <c r="J17" s="6" t="n">
        <v>49083.33</v>
      </c>
      <c r="K17" s="6" t="n">
        <v>43333.33</v>
      </c>
      <c r="L17" s="6" t="n">
        <v>52000</v>
      </c>
      <c r="M17" s="6">
        <f>I17*J17</f>
        <v/>
      </c>
      <c r="N17" s="6">
        <f>I17*K17</f>
        <v/>
      </c>
      <c r="O17" s="6">
        <f>N17-M17</f>
        <v/>
      </c>
      <c r="P17" s="7" t="inlineStr">
        <is>
          <t>Нет</t>
        </is>
      </c>
      <c r="Q17" s="8" t="inlineStr">
        <is>
          <t>Удешевление</t>
        </is>
      </c>
      <c r="R17" s="9" t="inlineStr">
        <is>
          <t>Средняя: количество из КС-2, цена восстановлена из цены с НДС</t>
        </is>
      </c>
    </row>
    <row r="18">
      <c r="A18" s="2" t="inlineStr">
        <is>
          <t>КС 2,3 № 4 от 20.10.2025 на 22 227 089,62.pdf</t>
        </is>
      </c>
      <c r="B18" s="2" t="inlineStr">
        <is>
          <t>КС-2 №5</t>
        </is>
      </c>
      <c r="C18" s="2" t="inlineStr">
        <is>
          <t>БГ-1-050525-МП</t>
        </is>
      </c>
      <c r="D18" s="3" t="inlineStr">
        <is>
          <t>Основной раздел</t>
        </is>
      </c>
      <c r="E18" s="3" t="inlineStr">
        <is>
          <t>Арматура 012 AS00, с учетом доставки</t>
        </is>
      </c>
      <c r="F18" s="2" t="inlineStr">
        <is>
          <t>Арматура A500 Ø12</t>
        </is>
      </c>
      <c r="G18" s="2" t="inlineStr">
        <is>
          <t>A500</t>
        </is>
      </c>
      <c r="H18" s="4" t="n">
        <v>12</v>
      </c>
      <c r="I18" s="5" t="n">
        <v>2.024</v>
      </c>
      <c r="J18" s="6" t="n">
        <v>49500</v>
      </c>
      <c r="K18" s="6" t="n">
        <v>43750</v>
      </c>
      <c r="L18" s="6" t="n">
        <v>52500</v>
      </c>
      <c r="M18" s="6">
        <f>I18*J18</f>
        <v/>
      </c>
      <c r="N18" s="6">
        <f>I18*K18</f>
        <v/>
      </c>
      <c r="O18" s="6">
        <f>N18-M18</f>
        <v/>
      </c>
      <c r="P18" s="7" t="inlineStr">
        <is>
          <t>Нет</t>
        </is>
      </c>
      <c r="Q18" s="8" t="inlineStr">
        <is>
          <t>Удешевление</t>
        </is>
      </c>
      <c r="R18" s="9" t="inlineStr">
        <is>
          <t>Средняя: количество из КС-2, цена восстановлена из цены с НДС</t>
        </is>
      </c>
    </row>
    <row r="19">
      <c r="A19" s="2" t="inlineStr">
        <is>
          <t>КС 2,3 № 4 от 20.10.2025 на 22 227 089,62.pdf</t>
        </is>
      </c>
      <c r="B19" s="2" t="inlineStr">
        <is>
          <t>КС-2 №5</t>
        </is>
      </c>
      <c r="C19" s="2" t="inlineStr">
        <is>
          <t>БГ-1-050525-МП</t>
        </is>
      </c>
      <c r="D19" s="3" t="inlineStr">
        <is>
          <t>Основной раздел</t>
        </is>
      </c>
      <c r="E19" s="3" t="inlineStr">
        <is>
          <t>Арматура 010 А500, с учетом доставки</t>
        </is>
      </c>
      <c r="F19" s="2" t="inlineStr">
        <is>
          <t>Арматура A500 Ø10</t>
        </is>
      </c>
      <c r="G19" s="2" t="inlineStr">
        <is>
          <t>A500</t>
        </is>
      </c>
      <c r="H19" s="4" t="n">
        <v>10</v>
      </c>
      <c r="I19" s="5" t="n">
        <v>1.906</v>
      </c>
      <c r="J19" s="6" t="n">
        <v>52000</v>
      </c>
      <c r="K19" s="6" t="n">
        <v>45000</v>
      </c>
      <c r="L19" s="6" t="n">
        <v>54000</v>
      </c>
      <c r="M19" s="6">
        <f>I19*J19</f>
        <v/>
      </c>
      <c r="N19" s="6">
        <f>I19*K19</f>
        <v/>
      </c>
      <c r="O19" s="6">
        <f>N19-M19</f>
        <v/>
      </c>
      <c r="P19" s="7" t="inlineStr">
        <is>
          <t>Нет</t>
        </is>
      </c>
      <c r="Q19" s="8" t="inlineStr">
        <is>
          <t>Удешевление</t>
        </is>
      </c>
      <c r="R19" s="9" t="inlineStr">
        <is>
          <t>Средняя: количество из КС-2, цена восстановлена из цены с НДС</t>
        </is>
      </c>
    </row>
    <row r="20">
      <c r="A20" s="2" t="inlineStr">
        <is>
          <t>КС 2,3 № 4 от 20.10.2025 на 22 227 089,62.pdf</t>
        </is>
      </c>
      <c r="B20" s="2" t="inlineStr">
        <is>
          <t>КС-2 №5</t>
        </is>
      </c>
      <c r="C20" s="2" t="inlineStr">
        <is>
          <t>БГ-1-050525-МП</t>
        </is>
      </c>
      <c r="D20" s="3" t="inlineStr">
        <is>
          <t>Основной раздел</t>
        </is>
      </c>
      <c r="E20" s="3" t="inlineStr">
        <is>
          <t>Арматура Ø8 А500, с учетом доставки</t>
        </is>
      </c>
      <c r="F20" s="2" t="inlineStr">
        <is>
          <t>Арматура A500 Ø8</t>
        </is>
      </c>
      <c r="G20" s="2" t="inlineStr">
        <is>
          <t>A500</t>
        </is>
      </c>
      <c r="H20" s="4" t="n">
        <v>8</v>
      </c>
      <c r="I20" s="5" t="n">
        <v>0.079</v>
      </c>
      <c r="J20" s="6" t="n">
        <v>56666.67</v>
      </c>
      <c r="K20" s="6" t="n">
        <v>49166.67</v>
      </c>
      <c r="L20" s="6" t="n">
        <v>59000</v>
      </c>
      <c r="M20" s="6">
        <f>I20*J20</f>
        <v/>
      </c>
      <c r="N20" s="6">
        <f>I20*K20</f>
        <v/>
      </c>
      <c r="O20" s="6">
        <f>N20-M20</f>
        <v/>
      </c>
      <c r="P20" s="7" t="inlineStr">
        <is>
          <t>Нет</t>
        </is>
      </c>
      <c r="Q20" s="8" t="inlineStr">
        <is>
          <t>Удешевление</t>
        </is>
      </c>
      <c r="R20" s="9" t="inlineStr">
        <is>
          <t>Средняя: количество из КС-2, цена восстановлена из цены с НДС</t>
        </is>
      </c>
    </row>
    <row r="21">
      <c r="A21" s="2" t="inlineStr">
        <is>
          <t>КС 2,3 № 4 от 20.10.2025 на 22 227 089,62.pdf</t>
        </is>
      </c>
      <c r="B21" s="2" t="inlineStr">
        <is>
          <t>КС-2 №5</t>
        </is>
      </c>
      <c r="C21" s="2" t="inlineStr">
        <is>
          <t>БГ-1-050525-МП</t>
        </is>
      </c>
      <c r="D21" s="3" t="inlineStr">
        <is>
          <t>Основной раздел</t>
        </is>
      </c>
      <c r="E21" s="3" t="inlineStr">
        <is>
          <t>Арматура Ø8 А240, с учетом доставки</t>
        </is>
      </c>
      <c r="F21" s="2" t="inlineStr">
        <is>
          <t>Арматура A240 Ø8</t>
        </is>
      </c>
      <c r="G21" s="2" t="inlineStr">
        <is>
          <t>A240</t>
        </is>
      </c>
      <c r="H21" s="4" t="n">
        <v>8</v>
      </c>
      <c r="I21" s="5" t="n">
        <v>0.258</v>
      </c>
      <c r="J21" s="6" t="n">
        <v>56166.67</v>
      </c>
      <c r="K21" s="6" t="n">
        <v>49166.67</v>
      </c>
      <c r="L21" s="6" t="n">
        <v>59000</v>
      </c>
      <c r="M21" s="6">
        <f>I21*J21</f>
        <v/>
      </c>
      <c r="N21" s="6">
        <f>I21*K21</f>
        <v/>
      </c>
      <c r="O21" s="6">
        <f>N21-M21</f>
        <v/>
      </c>
      <c r="P21" s="7" t="inlineStr">
        <is>
          <t>Нет</t>
        </is>
      </c>
      <c r="Q21" s="8" t="inlineStr">
        <is>
          <t>Удешевление</t>
        </is>
      </c>
      <c r="R21" s="9" t="inlineStr">
        <is>
          <t>Средняя: количество из КС-2, цена восстановлена OCR</t>
        </is>
      </c>
    </row>
    <row r="22">
      <c r="A22" s="2" t="inlineStr">
        <is>
          <t>КС 2,3 № 4 от 20.10.2025 на 22 227 089,62.pdf</t>
        </is>
      </c>
      <c r="B22" s="2" t="inlineStr">
        <is>
          <t>КС-2 №5</t>
        </is>
      </c>
      <c r="C22" s="2" t="inlineStr">
        <is>
          <t>БГ-1-050525-МП</t>
        </is>
      </c>
      <c r="D22" s="3" t="inlineStr">
        <is>
          <t>Основной раздел</t>
        </is>
      </c>
      <c r="E22" s="3" t="inlineStr">
        <is>
          <t>Арматура 020 AS00, с учетом доставки</t>
        </is>
      </c>
      <c r="F22" s="2" t="inlineStr">
        <is>
          <t>Арматура A500 Ø20</t>
        </is>
      </c>
      <c r="G22" s="2" t="inlineStr">
        <is>
          <t>A500</t>
        </is>
      </c>
      <c r="H22" s="4" t="n">
        <v>20</v>
      </c>
      <c r="I22" s="5" t="n">
        <v>2.289</v>
      </c>
      <c r="J22" s="6" t="n">
        <v>49083.33</v>
      </c>
      <c r="K22" s="6" t="n">
        <v>43333.33</v>
      </c>
      <c r="L22" s="6" t="n">
        <v>52000</v>
      </c>
      <c r="M22" s="6">
        <f>I22*J22</f>
        <v/>
      </c>
      <c r="N22" s="6">
        <f>I22*K22</f>
        <v/>
      </c>
      <c r="O22" s="6">
        <f>N22-M22</f>
        <v/>
      </c>
      <c r="P22" s="7" t="inlineStr">
        <is>
          <t>Нет</t>
        </is>
      </c>
      <c r="Q22" s="8" t="inlineStr">
        <is>
          <t>Удешевление</t>
        </is>
      </c>
      <c r="R22" s="9" t="inlineStr">
        <is>
          <t>Высокая: количество из КС-2, цена из расчета</t>
        </is>
      </c>
    </row>
    <row r="23">
      <c r="A23" s="2" t="inlineStr">
        <is>
          <t>КС 2,3 № 4 от 20.10.2025 на 22 227 089,62.pdf</t>
        </is>
      </c>
      <c r="B23" s="2" t="inlineStr">
        <is>
          <t>КС-2 №5</t>
        </is>
      </c>
      <c r="C23" s="2" t="inlineStr">
        <is>
          <t>БГ-1-050525-МП</t>
        </is>
      </c>
      <c r="D23" s="3" t="inlineStr">
        <is>
          <t>Основной раздел</t>
        </is>
      </c>
      <c r="E23" s="3" t="inlineStr">
        <is>
          <t>Арматура 016 А500, с учетом доставки</t>
        </is>
      </c>
      <c r="F23" s="2" t="inlineStr">
        <is>
          <t>Арматура A500 Ø16</t>
        </is>
      </c>
      <c r="G23" s="2" t="inlineStr">
        <is>
          <t>A500</t>
        </is>
      </c>
      <c r="H23" s="4" t="n">
        <v>16</v>
      </c>
      <c r="I23" s="5" t="n">
        <v>9.516</v>
      </c>
      <c r="J23" s="6" t="n">
        <v>49083.33</v>
      </c>
      <c r="K23" s="6" t="n">
        <v>43333.33</v>
      </c>
      <c r="L23" s="6" t="n">
        <v>52000</v>
      </c>
      <c r="M23" s="6">
        <f>I23*J23</f>
        <v/>
      </c>
      <c r="N23" s="6">
        <f>I23*K23</f>
        <v/>
      </c>
      <c r="O23" s="6">
        <f>N23-M23</f>
        <v/>
      </c>
      <c r="P23" s="7" t="inlineStr">
        <is>
          <t>Нет</t>
        </is>
      </c>
      <c r="Q23" s="8" t="inlineStr">
        <is>
          <t>Удешевление</t>
        </is>
      </c>
      <c r="R23" s="9" t="inlineStr">
        <is>
          <t>Средняя: количество из КС-2, цена восстановлена из цены с НДС</t>
        </is>
      </c>
    </row>
    <row r="24">
      <c r="A24" s="2" t="inlineStr">
        <is>
          <t>КС 2,3 № 4 от 20.10.2025 на 22 227 089,62.pdf</t>
        </is>
      </c>
      <c r="B24" s="2" t="inlineStr">
        <is>
          <t>КС-2 №5</t>
        </is>
      </c>
      <c r="C24" s="2" t="inlineStr">
        <is>
          <t>БГ-1-050525-МП</t>
        </is>
      </c>
      <c r="D24" s="3" t="inlineStr">
        <is>
          <t>Основной раздел</t>
        </is>
      </c>
      <c r="E24" s="3" t="inlineStr">
        <is>
          <t>Арматура Ø12 А500, с учетом доставки</t>
        </is>
      </c>
      <c r="F24" s="2" t="inlineStr">
        <is>
          <t>Арматура A500 Ø12</t>
        </is>
      </c>
      <c r="G24" s="2" t="inlineStr">
        <is>
          <t>A500</t>
        </is>
      </c>
      <c r="H24" s="4" t="n">
        <v>12</v>
      </c>
      <c r="I24" s="5" t="n">
        <v>0.378</v>
      </c>
      <c r="J24" s="6" t="n">
        <v>49500</v>
      </c>
      <c r="K24" s="6" t="n">
        <v>43750</v>
      </c>
      <c r="L24" s="6" t="n">
        <v>52500</v>
      </c>
      <c r="M24" s="6">
        <f>I24*J24</f>
        <v/>
      </c>
      <c r="N24" s="6">
        <f>I24*K24</f>
        <v/>
      </c>
      <c r="O24" s="6">
        <f>N24-M24</f>
        <v/>
      </c>
      <c r="P24" s="7" t="inlineStr">
        <is>
          <t>Нет</t>
        </is>
      </c>
      <c r="Q24" s="8" t="inlineStr">
        <is>
          <t>Удешевление</t>
        </is>
      </c>
      <c r="R24" s="9" t="inlineStr">
        <is>
          <t>Высокая: количество из КС-2, цена из расчета</t>
        </is>
      </c>
    </row>
    <row r="25">
      <c r="A25" s="2" t="inlineStr">
        <is>
          <t>КС 2,3 № 4 от 20.10.2025 на 22 227 089,62.pdf</t>
        </is>
      </c>
      <c r="B25" s="2" t="inlineStr">
        <is>
          <t>КС-2 №5</t>
        </is>
      </c>
      <c r="C25" s="2" t="inlineStr">
        <is>
          <t>БГ-1-050525-МП</t>
        </is>
      </c>
      <c r="D25" s="3" t="inlineStr">
        <is>
          <t>Основной раздел</t>
        </is>
      </c>
      <c r="E25" s="3" t="inlineStr">
        <is>
          <t>Арматура 010 А500, с учетом доставки</t>
        </is>
      </c>
      <c r="F25" s="2" t="inlineStr">
        <is>
          <t>Арматура A500 Ø10</t>
        </is>
      </c>
      <c r="G25" s="2" t="inlineStr">
        <is>
          <t>A500</t>
        </is>
      </c>
      <c r="H25" s="4" t="n">
        <v>10</v>
      </c>
      <c r="I25" s="5" t="n">
        <v>12.205</v>
      </c>
      <c r="J25" s="6" t="n">
        <v>52000</v>
      </c>
      <c r="K25" s="6" t="n">
        <v>45000</v>
      </c>
      <c r="L25" s="6" t="n">
        <v>54000</v>
      </c>
      <c r="M25" s="6">
        <f>I25*J25</f>
        <v/>
      </c>
      <c r="N25" s="6">
        <f>I25*K25</f>
        <v/>
      </c>
      <c r="O25" s="6">
        <f>N25-M25</f>
        <v/>
      </c>
      <c r="P25" s="7" t="inlineStr">
        <is>
          <t>Нет</t>
        </is>
      </c>
      <c r="Q25" s="8" t="inlineStr">
        <is>
          <t>Удешевление</t>
        </is>
      </c>
      <c r="R25" s="9" t="inlineStr">
        <is>
          <t>Средняя: количество из КС-2, цена восстановлена из цены с НДС</t>
        </is>
      </c>
    </row>
    <row r="26">
      <c r="A26" s="2" t="inlineStr">
        <is>
          <t>КС 2,3 № 4 от 20.10.2025 на 22 227 089,62.pdf</t>
        </is>
      </c>
      <c r="B26" s="2" t="inlineStr">
        <is>
          <t>КС-2 №5</t>
        </is>
      </c>
      <c r="C26" s="2" t="inlineStr">
        <is>
          <t>БГ-1-050525-МП</t>
        </is>
      </c>
      <c r="D26" s="3" t="inlineStr">
        <is>
          <t>Основной раздел</t>
        </is>
      </c>
      <c r="E26" s="3" t="inlineStr">
        <is>
          <t>Арматура 08 А500, с учетом доставки</t>
        </is>
      </c>
      <c r="F26" s="2" t="inlineStr">
        <is>
          <t>Арматура A500 Ø8</t>
        </is>
      </c>
      <c r="G26" s="2" t="inlineStr">
        <is>
          <t>A500</t>
        </is>
      </c>
      <c r="H26" s="4" t="n">
        <v>8</v>
      </c>
      <c r="I26" s="5" t="n">
        <v>0.925</v>
      </c>
      <c r="J26" s="6" t="n">
        <v>56666.67</v>
      </c>
      <c r="K26" s="6" t="n">
        <v>49166.67</v>
      </c>
      <c r="L26" s="6" t="n">
        <v>59000</v>
      </c>
      <c r="M26" s="6">
        <f>I26*J26</f>
        <v/>
      </c>
      <c r="N26" s="6">
        <f>I26*K26</f>
        <v/>
      </c>
      <c r="O26" s="6">
        <f>N26-M26</f>
        <v/>
      </c>
      <c r="P26" s="7" t="inlineStr">
        <is>
          <t>Нет</t>
        </is>
      </c>
      <c r="Q26" s="8" t="inlineStr">
        <is>
          <t>Удешевление</t>
        </is>
      </c>
      <c r="R26" s="9" t="inlineStr">
        <is>
          <t>Высокая: количество из КС-2, цена из расчета</t>
        </is>
      </c>
    </row>
    <row r="27">
      <c r="A27" s="2" t="inlineStr">
        <is>
          <t>КС 2,3 № 4 от 20.10.2025 на 22 227 089,62.pdf</t>
        </is>
      </c>
      <c r="B27" s="2" t="inlineStr">
        <is>
          <t>КС-2 №5</t>
        </is>
      </c>
      <c r="C27" s="2" t="inlineStr">
        <is>
          <t>БГ-1-050525-МП</t>
        </is>
      </c>
      <c r="D27" s="3" t="inlineStr">
        <is>
          <t>Основной раздел</t>
        </is>
      </c>
      <c r="E27" s="3" t="inlineStr">
        <is>
          <t>Арматура Ø8 А240, с учетом доставки</t>
        </is>
      </c>
      <c r="F27" s="2" t="inlineStr">
        <is>
          <t>Арматура A240 Ø8</t>
        </is>
      </c>
      <c r="G27" s="2" t="inlineStr">
        <is>
          <t>A240</t>
        </is>
      </c>
      <c r="H27" s="4" t="n">
        <v>8</v>
      </c>
      <c r="I27" s="5" t="n">
        <v>0.269</v>
      </c>
      <c r="J27" s="6" t="n">
        <v>56166.67</v>
      </c>
      <c r="K27" s="6" t="n">
        <v>49166.67</v>
      </c>
      <c r="L27" s="6" t="n">
        <v>59000</v>
      </c>
      <c r="M27" s="6">
        <f>I27*J27</f>
        <v/>
      </c>
      <c r="N27" s="6">
        <f>I27*K27</f>
        <v/>
      </c>
      <c r="O27" s="6">
        <f>N27-M27</f>
        <v/>
      </c>
      <c r="P27" s="7" t="inlineStr">
        <is>
          <t>Нет</t>
        </is>
      </c>
      <c r="Q27" s="8" t="inlineStr">
        <is>
          <t>Удешевление</t>
        </is>
      </c>
      <c r="R27" s="9" t="inlineStr">
        <is>
          <t>Высокая: количество из КС-2, цена из расчета</t>
        </is>
      </c>
    </row>
    <row r="28">
      <c r="C28" s="10" t="inlineStr">
        <is>
          <t>ИТОГО:</t>
        </is>
      </c>
      <c r="I28" s="11">
        <f>SUM(I2:I27)</f>
        <v/>
      </c>
      <c r="M28" s="12">
        <f>SUM(M2:M27)</f>
        <v/>
      </c>
      <c r="N28" s="12">
        <f>SUM(N2:N27)</f>
        <v/>
      </c>
      <c r="O28" s="12">
        <f>SUM(O2:O27)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21" customWidth="1" min="4" max="4"/>
    <col width="12" customWidth="1" min="5" max="5"/>
    <col width="15" customWidth="1" min="6" max="6"/>
    <col width="22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36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4 от 20.10.2025 на 22 227 089,62.pdf</t>
        </is>
      </c>
      <c r="B2" s="2" t="inlineStr">
        <is>
          <t>КС-2 №5</t>
        </is>
      </c>
      <c r="C2" s="2" t="inlineStr">
        <is>
          <t>БГ-1-050525-МП</t>
        </is>
      </c>
      <c r="D2" s="2" t="inlineStr">
        <is>
          <t>Арматура A240 Ø8</t>
        </is>
      </c>
      <c r="E2" s="2" t="inlineStr">
        <is>
          <t>A240</t>
        </is>
      </c>
      <c r="F2" s="4" t="n">
        <v>8</v>
      </c>
      <c r="G2" s="5" t="n">
        <v>1.055</v>
      </c>
      <c r="H2" s="6" t="n">
        <v>56166.67</v>
      </c>
      <c r="I2" s="6" t="n">
        <v>49166.67</v>
      </c>
      <c r="J2" s="6" t="n">
        <v>59000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Нет</t>
        </is>
      </c>
      <c r="O2" s="8" t="inlineStr">
        <is>
          <t>Удешевление</t>
        </is>
      </c>
      <c r="P2" s="9" t="inlineStr">
        <is>
          <t>Средняя: часть цен восстановлена</t>
        </is>
      </c>
    </row>
    <row r="3">
      <c r="A3" s="2" t="inlineStr">
        <is>
          <t>КС 2,3 № 4 от 20.10.2025 на 22 227 089,62.pdf</t>
        </is>
      </c>
      <c r="B3" s="2" t="inlineStr">
        <is>
          <t>КС-2 №5</t>
        </is>
      </c>
      <c r="C3" s="2" t="inlineStr">
        <is>
          <t>БГ-1-050525-МП</t>
        </is>
      </c>
      <c r="D3" s="2" t="inlineStr">
        <is>
          <t>Арматура A500 Ø8</t>
        </is>
      </c>
      <c r="E3" s="2" t="inlineStr">
        <is>
          <t>A500</t>
        </is>
      </c>
      <c r="F3" s="4" t="n">
        <v>8</v>
      </c>
      <c r="G3" s="5" t="n">
        <v>2.009</v>
      </c>
      <c r="H3" s="6" t="n">
        <v>56666.67</v>
      </c>
      <c r="I3" s="6" t="n">
        <v>49166.67</v>
      </c>
      <c r="J3" s="6" t="n">
        <v>59000</v>
      </c>
      <c r="K3" s="6">
        <f>G3*H3</f>
        <v/>
      </c>
      <c r="L3" s="6">
        <f>G3*I3</f>
        <v/>
      </c>
      <c r="M3" s="6">
        <f>L3-K3</f>
        <v/>
      </c>
      <c r="N3" s="7" t="inlineStr">
        <is>
          <t>Нет</t>
        </is>
      </c>
      <c r="O3" s="8" t="inlineStr">
        <is>
          <t>Удешевление</t>
        </is>
      </c>
      <c r="P3" s="9" t="inlineStr">
        <is>
          <t>Средняя: часть цен восстановлена</t>
        </is>
      </c>
    </row>
    <row r="4">
      <c r="A4" s="2" t="inlineStr">
        <is>
          <t>КС 2,3 № 4 от 20.10.2025 на 22 227 089,62.pdf</t>
        </is>
      </c>
      <c r="B4" s="2" t="inlineStr">
        <is>
          <t>КС-2 №5</t>
        </is>
      </c>
      <c r="C4" s="2" t="inlineStr">
        <is>
          <t>БГ-1-050525-МП</t>
        </is>
      </c>
      <c r="D4" s="2" t="inlineStr">
        <is>
          <t>Арматура A500 Ø10</t>
        </is>
      </c>
      <c r="E4" s="2" t="inlineStr">
        <is>
          <t>A500</t>
        </is>
      </c>
      <c r="F4" s="4" t="n">
        <v>10</v>
      </c>
      <c r="G4" s="5" t="n">
        <v>28.222</v>
      </c>
      <c r="H4" s="6" t="n">
        <v>52000</v>
      </c>
      <c r="I4" s="6" t="n">
        <v>45000</v>
      </c>
      <c r="J4" s="6" t="n">
        <v>54000</v>
      </c>
      <c r="K4" s="6">
        <f>G4*H4</f>
        <v/>
      </c>
      <c r="L4" s="6">
        <f>G4*I4</f>
        <v/>
      </c>
      <c r="M4" s="6">
        <f>L4-K4</f>
        <v/>
      </c>
      <c r="N4" s="7" t="inlineStr">
        <is>
          <t>Нет</t>
        </is>
      </c>
      <c r="O4" s="8" t="inlineStr">
        <is>
          <t>Удешевление</t>
        </is>
      </c>
      <c r="P4" s="9" t="inlineStr">
        <is>
          <t>Средняя: часть цен восстановлена</t>
        </is>
      </c>
    </row>
    <row r="5">
      <c r="A5" s="2" t="inlineStr">
        <is>
          <t>КС 2,3 № 4 от 20.10.2025 на 22 227 089,62.pdf</t>
        </is>
      </c>
      <c r="B5" s="2" t="inlineStr">
        <is>
          <t>КС-2 №5</t>
        </is>
      </c>
      <c r="C5" s="2" t="inlineStr">
        <is>
          <t>БГ-1-050525-МП</t>
        </is>
      </c>
      <c r="D5" s="2" t="inlineStr">
        <is>
          <t>Арматура A500 Ø12</t>
        </is>
      </c>
      <c r="E5" s="2" t="inlineStr">
        <is>
          <t>A500</t>
        </is>
      </c>
      <c r="F5" s="4" t="n">
        <v>12</v>
      </c>
      <c r="G5" s="5" t="n">
        <v>4.804</v>
      </c>
      <c r="H5" s="6" t="n">
        <v>49500</v>
      </c>
      <c r="I5" s="6" t="n">
        <v>43750</v>
      </c>
      <c r="J5" s="6" t="n">
        <v>52500</v>
      </c>
      <c r="K5" s="6">
        <f>G5*H5</f>
        <v/>
      </c>
      <c r="L5" s="6">
        <f>G5*I5</f>
        <v/>
      </c>
      <c r="M5" s="6">
        <f>L5-K5</f>
        <v/>
      </c>
      <c r="N5" s="7" t="inlineStr">
        <is>
          <t>Нет</t>
        </is>
      </c>
      <c r="O5" s="8" t="inlineStr">
        <is>
          <t>Удешевление</t>
        </is>
      </c>
      <c r="P5" s="9" t="inlineStr">
        <is>
          <t>Средняя: часть цен восстановлена</t>
        </is>
      </c>
    </row>
    <row r="6">
      <c r="A6" s="2" t="inlineStr">
        <is>
          <t>КС 2,3 № 4 от 20.10.2025 на 22 227 089,62.pdf</t>
        </is>
      </c>
      <c r="B6" s="2" t="inlineStr">
        <is>
          <t>КС-2 №5</t>
        </is>
      </c>
      <c r="C6" s="2" t="inlineStr">
        <is>
          <t>БГ-1-050525-МП</t>
        </is>
      </c>
      <c r="D6" s="2" t="inlineStr">
        <is>
          <t>Арматура A500 Ø16</t>
        </is>
      </c>
      <c r="E6" s="2" t="inlineStr">
        <is>
          <t>A500</t>
        </is>
      </c>
      <c r="F6" s="4" t="n">
        <v>16</v>
      </c>
      <c r="G6" s="5" t="n">
        <v>19.031</v>
      </c>
      <c r="H6" s="6" t="n">
        <v>49083.33</v>
      </c>
      <c r="I6" s="6" t="n">
        <v>43333.33</v>
      </c>
      <c r="J6" s="6" t="n">
        <v>52000</v>
      </c>
      <c r="K6" s="6">
        <f>G6*H6</f>
        <v/>
      </c>
      <c r="L6" s="6">
        <f>G6*I6</f>
        <v/>
      </c>
      <c r="M6" s="6">
        <f>L6-K6</f>
        <v/>
      </c>
      <c r="N6" s="7" t="inlineStr">
        <is>
          <t>Нет</t>
        </is>
      </c>
      <c r="O6" s="8" t="inlineStr">
        <is>
          <t>Удешевление</t>
        </is>
      </c>
      <c r="P6" s="9" t="inlineStr">
        <is>
          <t>Средняя: часть цен восстановлена</t>
        </is>
      </c>
    </row>
    <row r="7">
      <c r="A7" s="2" t="inlineStr">
        <is>
          <t>КС 2,3 № 4 от 20.10.2025 на 22 227 089,62.pdf</t>
        </is>
      </c>
      <c r="B7" s="2" t="inlineStr">
        <is>
          <t>КС-2 №5</t>
        </is>
      </c>
      <c r="C7" s="2" t="inlineStr">
        <is>
          <t>БГ-1-050525-МП</t>
        </is>
      </c>
      <c r="D7" s="2" t="inlineStr">
        <is>
          <t>Арматура A500 Ø20</t>
        </is>
      </c>
      <c r="E7" s="2" t="inlineStr">
        <is>
          <t>A500</t>
        </is>
      </c>
      <c r="F7" s="4" t="n">
        <v>20</v>
      </c>
      <c r="G7" s="5" t="n">
        <v>12.718</v>
      </c>
      <c r="H7" s="6" t="n">
        <v>49083.33</v>
      </c>
      <c r="I7" s="6" t="n">
        <v>43333.33</v>
      </c>
      <c r="J7" s="6" t="n">
        <v>52000</v>
      </c>
      <c r="K7" s="6">
        <f>G7*H7</f>
        <v/>
      </c>
      <c r="L7" s="6">
        <f>G7*I7</f>
        <v/>
      </c>
      <c r="M7" s="6">
        <f>L7-K7</f>
        <v/>
      </c>
      <c r="N7" s="7" t="inlineStr">
        <is>
          <t>Нет</t>
        </is>
      </c>
      <c r="O7" s="8" t="inlineStr">
        <is>
          <t>Удешевление</t>
        </is>
      </c>
      <c r="P7" s="9" t="inlineStr">
        <is>
          <t>Средняя: часть цен восстановлена</t>
        </is>
      </c>
    </row>
    <row r="8">
      <c r="A8" s="2" t="inlineStr">
        <is>
          <t>КС 2,3 № 4 от 20.10.2025 на 22 227 089,62.pdf</t>
        </is>
      </c>
      <c r="B8" s="2" t="inlineStr">
        <is>
          <t>КС-2 №5</t>
        </is>
      </c>
      <c r="C8" s="2" t="inlineStr">
        <is>
          <t>БГ-1-050525-МП</t>
        </is>
      </c>
      <c r="D8" s="2" t="inlineStr">
        <is>
          <t>Арматура A500 Ø25</t>
        </is>
      </c>
      <c r="E8" s="2" t="inlineStr">
        <is>
          <t>A500</t>
        </is>
      </c>
      <c r="F8" s="4" t="n">
        <v>25</v>
      </c>
      <c r="G8" s="5" t="n">
        <v>4.59</v>
      </c>
      <c r="H8" s="6" t="n">
        <v>49083.33</v>
      </c>
      <c r="I8" s="6" t="n">
        <v>43333.33</v>
      </c>
      <c r="J8" s="6" t="n">
        <v>52000</v>
      </c>
      <c r="K8" s="6">
        <f>G8*H8</f>
        <v/>
      </c>
      <c r="L8" s="6">
        <f>G8*I8</f>
        <v/>
      </c>
      <c r="M8" s="6">
        <f>L8-K8</f>
        <v/>
      </c>
      <c r="N8" s="7" t="inlineStr">
        <is>
          <t>Нет</t>
        </is>
      </c>
      <c r="O8" s="8" t="inlineStr">
        <is>
          <t>Удешевление</t>
        </is>
      </c>
      <c r="P8" s="9" t="inlineStr">
        <is>
          <t>Средняя: часть цен восстановлена</t>
        </is>
      </c>
    </row>
    <row r="9">
      <c r="A9" s="2" t="inlineStr">
        <is>
          <t>КС 2,3 № 4 от 20.10.2025 на 22 227 089,62.pdf</t>
        </is>
      </c>
      <c r="B9" s="2" t="inlineStr">
        <is>
          <t>КС-2 №5</t>
        </is>
      </c>
      <c r="C9" s="2" t="inlineStr">
        <is>
          <t>БГ-1-050525-МП</t>
        </is>
      </c>
      <c r="D9" s="2" t="inlineStr">
        <is>
          <t>Арматура A500 Ø28</t>
        </is>
      </c>
      <c r="E9" s="2" t="inlineStr">
        <is>
          <t>A500</t>
        </is>
      </c>
      <c r="F9" s="4" t="n">
        <v>28</v>
      </c>
      <c r="G9" s="5" t="n">
        <v>2.384</v>
      </c>
      <c r="H9" s="6" t="n">
        <v>49083.33</v>
      </c>
      <c r="I9" s="6" t="n">
        <v>43333.33</v>
      </c>
      <c r="J9" s="6" t="n">
        <v>52000</v>
      </c>
      <c r="K9" s="6">
        <f>G9*H9</f>
        <v/>
      </c>
      <c r="L9" s="6">
        <f>G9*I9</f>
        <v/>
      </c>
      <c r="M9" s="6">
        <f>L9-K9</f>
        <v/>
      </c>
      <c r="N9" s="7" t="inlineStr">
        <is>
          <t>Нет</t>
        </is>
      </c>
      <c r="O9" s="8" t="inlineStr">
        <is>
          <t>Удешевление</t>
        </is>
      </c>
      <c r="P9" s="9" t="inlineStr">
        <is>
          <t>Средняя: часть цен восстановлена</t>
        </is>
      </c>
    </row>
    <row r="10">
      <c r="C10" s="10" t="inlineStr">
        <is>
          <t>ИТОГО:</t>
        </is>
      </c>
      <c r="G10" s="11">
        <f>SUM(G2:G9)</f>
        <v/>
      </c>
      <c r="K10" s="12">
        <f>SUM(K2:K9)</f>
        <v/>
      </c>
      <c r="L10" s="12">
        <f>SUM(L2:L9)</f>
        <v/>
      </c>
      <c r="M10" s="12">
        <f>SUM(M2:M9)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2026-07-07T12:44:04Z</dcterms:created>
  <dcterms:modified xmlns:dcterms="http://purl.org/dc/terms/" xmlns:xsi="http://www.w3.org/2001/XMLSchema-instance" xsi:type="dcterms:W3CDTF">2026-07-07T12:44:04Z</dcterms:modified>
</cp:coreProperties>
</file>