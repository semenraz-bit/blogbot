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107" customWidth="1" min="4" max="4"/>
    <col width="41" customWidth="1" min="5" max="5"/>
    <col width="41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55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4 от 20.10.2025 на 22 227 089,62.pdf</t>
        </is>
      </c>
      <c r="B2" s="2" t="inlineStr">
        <is>
          <t>КС-2 №6</t>
        </is>
      </c>
      <c r="C2" s="2" t="inlineStr">
        <is>
          <t>БГ-1-050525-МП</t>
        </is>
      </c>
      <c r="D2" s="3" t="inlineStr">
        <is>
          <t>Смета Nº 02-10, Устройство монолитных железобетонных конструкций выш 0,000 (+33.220-+42,020 11-14 этаж)</t>
        </is>
      </c>
      <c r="E2" s="3" t="inlineStr">
        <is>
          <t>Арматура 028 А500, с учетом доставки</t>
        </is>
      </c>
      <c r="F2" s="2" t="inlineStr">
        <is>
          <t>Арматура A500 Ø28</t>
        </is>
      </c>
      <c r="G2" s="2" t="inlineStr">
        <is>
          <t>A500</t>
        </is>
      </c>
      <c r="H2" s="4" t="n">
        <v>28</v>
      </c>
      <c r="I2" s="5" t="n">
        <v>1.192</v>
      </c>
      <c r="J2" s="6" t="n">
        <v>43333.33</v>
      </c>
      <c r="K2" s="6" t="n">
        <v>43333.33</v>
      </c>
      <c r="L2" s="6" t="n">
        <v>52000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Нет</t>
        </is>
      </c>
      <c r="Q2" s="8" t="inlineStr">
        <is>
          <t>Без изменения</t>
        </is>
      </c>
      <c r="R2" s="9" t="inlineStr">
        <is>
          <t>Высокая: количество и цена из КС-2</t>
        </is>
      </c>
    </row>
    <row r="3">
      <c r="A3" s="2" t="inlineStr">
        <is>
          <t>КС 2,3 № 4 от 20.10.2025 на 22 227 089,62.pdf</t>
        </is>
      </c>
      <c r="B3" s="2" t="inlineStr">
        <is>
          <t>КС-2 №6</t>
        </is>
      </c>
      <c r="C3" s="2" t="inlineStr">
        <is>
          <t>БГ-1-050525-МП</t>
        </is>
      </c>
      <c r="D3" s="3" t="inlineStr">
        <is>
          <t>Смета Nº 02-10, Устройство монолитных железобетонных конструкций выш 0,000 (+33.220-+42,020 11-14 этаж)</t>
        </is>
      </c>
      <c r="E3" s="3" t="inlineStr">
        <is>
          <t>Арматура 025 А500, с учетом доставки</t>
        </is>
      </c>
      <c r="F3" s="2" t="inlineStr">
        <is>
          <t>Арматура A500 Ø25</t>
        </is>
      </c>
      <c r="G3" s="2" t="inlineStr">
        <is>
          <t>A500</t>
        </is>
      </c>
      <c r="H3" s="4" t="n">
        <v>25</v>
      </c>
      <c r="I3" s="5" t="n">
        <v>2.295</v>
      </c>
      <c r="J3" s="6" t="n">
        <v>43333.33</v>
      </c>
      <c r="K3" s="6" t="n">
        <v>43333.33</v>
      </c>
      <c r="L3" s="6" t="n">
        <v>52000</v>
      </c>
      <c r="M3" s="6">
        <f>I3*J3</f>
        <v/>
      </c>
      <c r="N3" s="6">
        <f>I3*K3</f>
        <v/>
      </c>
      <c r="O3" s="6">
        <f>N3-M3</f>
        <v/>
      </c>
      <c r="P3" s="7" t="inlineStr">
        <is>
          <t>Нет</t>
        </is>
      </c>
      <c r="Q3" s="8" t="inlineStr">
        <is>
          <t>Без изменения</t>
        </is>
      </c>
      <c r="R3" s="9" t="inlineStr">
        <is>
          <t>Высокая: количество и цена из КС-2</t>
        </is>
      </c>
    </row>
    <row r="4">
      <c r="A4" s="2" t="inlineStr">
        <is>
          <t>КС 2,3 № 4 от 20.10.2025 на 22 227 089,62.pdf</t>
        </is>
      </c>
      <c r="B4" s="2" t="inlineStr">
        <is>
          <t>КС-2 №6</t>
        </is>
      </c>
      <c r="C4" s="2" t="inlineStr">
        <is>
          <t>БГ-1-050525-МП</t>
        </is>
      </c>
      <c r="D4" s="3" t="inlineStr">
        <is>
          <t>Смета Nº 02-10, Устройство монолитных железобетонных конструкций выш 0,000 (+33.220-+42,020 11-14 этаж)</t>
        </is>
      </c>
      <c r="E4" s="3" t="inlineStr">
        <is>
          <t>Арматура Ø20 А500, с учетом доставки</t>
        </is>
      </c>
      <c r="F4" s="2" t="inlineStr">
        <is>
          <t>Арматура A500 Ø20</t>
        </is>
      </c>
      <c r="G4" s="2" t="inlineStr">
        <is>
          <t>A500</t>
        </is>
      </c>
      <c r="H4" s="4" t="n">
        <v>20</v>
      </c>
      <c r="I4" s="5" t="n">
        <v>4.068</v>
      </c>
      <c r="J4" s="6" t="n">
        <v>43333.33</v>
      </c>
      <c r="K4" s="6" t="n">
        <v>43333.33</v>
      </c>
      <c r="L4" s="6" t="n">
        <v>52000</v>
      </c>
      <c r="M4" s="6">
        <f>I4*J4</f>
        <v/>
      </c>
      <c r="N4" s="6">
        <f>I4*K4</f>
        <v/>
      </c>
      <c r="O4" s="6">
        <f>N4-M4</f>
        <v/>
      </c>
      <c r="P4" s="7" t="inlineStr">
        <is>
          <t>Нет</t>
        </is>
      </c>
      <c r="Q4" s="8" t="inlineStr">
        <is>
          <t>Без изменения</t>
        </is>
      </c>
      <c r="R4" s="9" t="inlineStr">
        <is>
          <t>Высокая: количество и цена из КС-2</t>
        </is>
      </c>
    </row>
    <row r="5">
      <c r="A5" s="2" t="inlineStr">
        <is>
          <t>КС 2,3 № 4 от 20.10.2025 на 22 227 089,62.pdf</t>
        </is>
      </c>
      <c r="B5" s="2" t="inlineStr">
        <is>
          <t>КС-2 №6</t>
        </is>
      </c>
      <c r="C5" s="2" t="inlineStr">
        <is>
          <t>БГ-1-050525-МП</t>
        </is>
      </c>
      <c r="D5" s="3" t="inlineStr">
        <is>
          <t>Смета Nº 02-10, Устройство монолитных железобетонных конструкций выш 0,000 (+33.220-+42,020 11-14 этаж)</t>
        </is>
      </c>
      <c r="E5" s="3" t="inlineStr">
        <is>
          <t>Арматура Ø12 А500, с учетом доставки</t>
        </is>
      </c>
      <c r="F5" s="2" t="inlineStr">
        <is>
          <t>Арматура A500 Ø12</t>
        </is>
      </c>
      <c r="G5" s="2" t="inlineStr">
        <is>
          <t>A500</t>
        </is>
      </c>
      <c r="H5" s="4" t="n">
        <v>12</v>
      </c>
      <c r="I5" s="5" t="n">
        <v>2.024</v>
      </c>
      <c r="J5" s="6" t="n">
        <v>43750</v>
      </c>
      <c r="K5" s="6" t="n">
        <v>43750</v>
      </c>
      <c r="L5" s="6" t="n">
        <v>52500</v>
      </c>
      <c r="M5" s="6">
        <f>I5*J5</f>
        <v/>
      </c>
      <c r="N5" s="6">
        <f>I5*K5</f>
        <v/>
      </c>
      <c r="O5" s="6">
        <f>N5-M5</f>
        <v/>
      </c>
      <c r="P5" s="7" t="inlineStr">
        <is>
          <t>Нет</t>
        </is>
      </c>
      <c r="Q5" s="8" t="inlineStr">
        <is>
          <t>Без изменения</t>
        </is>
      </c>
      <c r="R5" s="9" t="inlineStr">
        <is>
          <t>Высокая: количество и цена из КС-2</t>
        </is>
      </c>
    </row>
    <row r="6">
      <c r="A6" s="2" t="inlineStr">
        <is>
          <t>КС 2,3 № 4 от 20.10.2025 на 22 227 089,62.pdf</t>
        </is>
      </c>
      <c r="B6" s="2" t="inlineStr">
        <is>
          <t>КС-2 №6</t>
        </is>
      </c>
      <c r="C6" s="2" t="inlineStr">
        <is>
          <t>БГ-1-050525-МП</t>
        </is>
      </c>
      <c r="D6" s="3" t="inlineStr">
        <is>
          <t>Смета Nº 02-10, Устройство монолитных железобетонных конструкций выш 0,000 (+33.220-+42,020 11-14 этаж)</t>
        </is>
      </c>
      <c r="E6" s="3" t="inlineStr">
        <is>
          <t>Арматура Ø8 А500, с учетом доставки</t>
        </is>
      </c>
      <c r="F6" s="2" t="inlineStr">
        <is>
          <t>Арматура A500 Ø8</t>
        </is>
      </c>
      <c r="G6" s="2" t="inlineStr">
        <is>
          <t>A500</t>
        </is>
      </c>
      <c r="H6" s="4" t="n">
        <v>8</v>
      </c>
      <c r="I6" s="5" t="n">
        <v>0.079</v>
      </c>
      <c r="J6" s="6" t="n">
        <v>49166.67</v>
      </c>
      <c r="K6" s="6" t="n">
        <v>50000</v>
      </c>
      <c r="L6" s="6" t="n">
        <v>60000</v>
      </c>
      <c r="M6" s="6">
        <f>I6*J6</f>
        <v/>
      </c>
      <c r="N6" s="6">
        <f>I6*K6</f>
        <v/>
      </c>
      <c r="O6" s="6">
        <f>N6-M6</f>
        <v/>
      </c>
      <c r="P6" s="10" t="inlineStr">
        <is>
          <t>Да</t>
        </is>
      </c>
      <c r="Q6" s="11" t="inlineStr">
        <is>
          <t>Удорожание</t>
        </is>
      </c>
      <c r="R6" s="9" t="inlineStr">
        <is>
          <t>Средняя: количество из КС-2, цена восстановлена OCR</t>
        </is>
      </c>
    </row>
    <row r="7">
      <c r="A7" s="2" t="inlineStr">
        <is>
          <t>КС 2,3 № 4 от 20.10.2025 на 22 227 089,62.pdf</t>
        </is>
      </c>
      <c r="B7" s="2" t="inlineStr">
        <is>
          <t>КС-2 №6</t>
        </is>
      </c>
      <c r="C7" s="2" t="inlineStr">
        <is>
          <t>БГ-1-050525-МП</t>
        </is>
      </c>
      <c r="D7" s="3" t="inlineStr">
        <is>
          <t>Смета Nº 02-10, Устройство монолитных железобетонных конструкций выш 0,000 (+33.220-+42,020 11-14 этаж)</t>
        </is>
      </c>
      <c r="E7" s="3" t="inlineStr">
        <is>
          <t>Арматура Ø10 А500, с учетом доставки</t>
        </is>
      </c>
      <c r="F7" s="2" t="inlineStr">
        <is>
          <t>Арматура A500 Ø10</t>
        </is>
      </c>
      <c r="G7" s="2" t="inlineStr">
        <is>
          <t>A500</t>
        </is>
      </c>
      <c r="H7" s="4" t="n">
        <v>10</v>
      </c>
      <c r="I7" s="5" t="n">
        <v>1.901</v>
      </c>
      <c r="J7" s="6" t="n">
        <v>45000</v>
      </c>
      <c r="K7" s="6" t="n">
        <v>45000</v>
      </c>
      <c r="L7" s="6" t="n">
        <v>54000</v>
      </c>
      <c r="M7" s="6">
        <f>I7*J7</f>
        <v/>
      </c>
      <c r="N7" s="6">
        <f>I7*K7</f>
        <v/>
      </c>
      <c r="O7" s="6">
        <f>N7-M7</f>
        <v/>
      </c>
      <c r="P7" s="7" t="inlineStr">
        <is>
          <t>Нет</t>
        </is>
      </c>
      <c r="Q7" s="8" t="inlineStr">
        <is>
          <t>Без изменения</t>
        </is>
      </c>
      <c r="R7" s="9" t="inlineStr">
        <is>
          <t>Высокая: количество и цена из КС-2</t>
        </is>
      </c>
    </row>
    <row r="8">
      <c r="A8" s="2" t="inlineStr">
        <is>
          <t>КС 2,3 № 4 от 20.10.2025 на 22 227 089,62.pdf</t>
        </is>
      </c>
      <c r="B8" s="2" t="inlineStr">
        <is>
          <t>КС-2 №6</t>
        </is>
      </c>
      <c r="C8" s="2" t="inlineStr">
        <is>
          <t>БГ-1-050525-МП</t>
        </is>
      </c>
      <c r="D8" s="3" t="inlineStr">
        <is>
          <t>Смета Nº 02-10, Устройство монолитных железобетонных конструкций выш 0,000 (+33.220-+42,020 11-14 этаж)</t>
        </is>
      </c>
      <c r="E8" s="3" t="inlineStr">
        <is>
          <t>Арматура 28 А240, с учетом доставки</t>
        </is>
      </c>
      <c r="F8" s="2" t="inlineStr">
        <is>
          <t>Арматура A240 Ø28</t>
        </is>
      </c>
      <c r="G8" s="2" t="inlineStr">
        <is>
          <t>A240</t>
        </is>
      </c>
      <c r="H8" s="4" t="n">
        <v>28</v>
      </c>
      <c r="I8" s="5" t="n">
        <v>0.19</v>
      </c>
      <c r="J8" s="6" t="n">
        <v>49166.67</v>
      </c>
      <c r="K8" s="6" t="n">
        <v>49166.67</v>
      </c>
      <c r="L8" s="6" t="n">
        <v>59000</v>
      </c>
      <c r="M8" s="6">
        <f>I8*J8</f>
        <v/>
      </c>
      <c r="N8" s="6">
        <f>I8*K8</f>
        <v/>
      </c>
      <c r="O8" s="6">
        <f>N8-M8</f>
        <v/>
      </c>
      <c r="P8" s="7" t="inlineStr">
        <is>
          <t>Нет</t>
        </is>
      </c>
      <c r="Q8" s="8" t="inlineStr">
        <is>
          <t>Без изменения</t>
        </is>
      </c>
      <c r="R8" s="9" t="inlineStr">
        <is>
          <t>Высокая: количество и цена из КС-2</t>
        </is>
      </c>
    </row>
    <row r="9">
      <c r="A9" s="2" t="inlineStr">
        <is>
          <t>КС 2,3 № 4 от 20.10.2025 на 22 227 089,62.pdf</t>
        </is>
      </c>
      <c r="B9" s="2" t="inlineStr">
        <is>
          <t>КС-2 №6</t>
        </is>
      </c>
      <c r="C9" s="2" t="inlineStr">
        <is>
          <t>БГ-1-050525-МП</t>
        </is>
      </c>
      <c r="D9" s="3" t="inlineStr">
        <is>
          <t>Смета Nº 02-10, Устройство монолитных железобетонных конструкций выш 0,000 (+33.220-+42,020 11-14 этаж)</t>
        </is>
      </c>
      <c r="E9" s="3" t="inlineStr">
        <is>
          <t>Арматура Ø6 A240, с учетом доставки</t>
        </is>
      </c>
      <c r="F9" s="2" t="inlineStr">
        <is>
          <t>Арматура A240 Ø6</t>
        </is>
      </c>
      <c r="G9" s="2" t="inlineStr">
        <is>
          <t>A240</t>
        </is>
      </c>
      <c r="H9" s="4" t="n">
        <v>6</v>
      </c>
      <c r="I9" s="5" t="n">
        <v>0.038</v>
      </c>
      <c r="J9" s="6" t="n">
        <v>49166.67</v>
      </c>
      <c r="K9" s="6" t="n">
        <v>49166.67</v>
      </c>
      <c r="L9" s="6" t="n">
        <v>59000</v>
      </c>
      <c r="M9" s="6">
        <f>I9*J9</f>
        <v/>
      </c>
      <c r="N9" s="6">
        <f>I9*K9</f>
        <v/>
      </c>
      <c r="O9" s="6">
        <f>N9-M9</f>
        <v/>
      </c>
      <c r="P9" s="7" t="inlineStr">
        <is>
          <t>Нет</t>
        </is>
      </c>
      <c r="Q9" s="8" t="inlineStr">
        <is>
          <t>Без изменения</t>
        </is>
      </c>
      <c r="R9" s="9" t="inlineStr">
        <is>
          <t>Высокая: количество и цена из КС-2</t>
        </is>
      </c>
    </row>
    <row r="10">
      <c r="A10" s="2" t="inlineStr">
        <is>
          <t>КС 2,3 № 4 от 20.10.2025 на 22 227 089,62.pdf</t>
        </is>
      </c>
      <c r="B10" s="2" t="inlineStr">
        <is>
          <t>КС-2 №6</t>
        </is>
      </c>
      <c r="C10" s="2" t="inlineStr">
        <is>
          <t>БГ-1-050525-МП</t>
        </is>
      </c>
      <c r="D10" s="3" t="inlineStr">
        <is>
          <t>Основной раздел</t>
        </is>
      </c>
      <c r="E10" s="3" t="inlineStr">
        <is>
          <t>Арматура Ø20 А500, с учетом доставки</t>
        </is>
      </c>
      <c r="F10" s="2" t="inlineStr">
        <is>
          <t>Арматура A500 Ø20</t>
        </is>
      </c>
      <c r="G10" s="2" t="inlineStr">
        <is>
          <t>A500</t>
        </is>
      </c>
      <c r="H10" s="4" t="n">
        <v>20</v>
      </c>
      <c r="I10" s="5" t="n">
        <v>1.301</v>
      </c>
      <c r="J10" s="6" t="n">
        <v>43333.33</v>
      </c>
      <c r="K10" s="6" t="n">
        <v>43333.33</v>
      </c>
      <c r="L10" s="6" t="n">
        <v>52000</v>
      </c>
      <c r="M10" s="6">
        <f>I10*J10</f>
        <v/>
      </c>
      <c r="N10" s="6">
        <f>I10*K10</f>
        <v/>
      </c>
      <c r="O10" s="6">
        <f>N10-M10</f>
        <v/>
      </c>
      <c r="P10" s="7" t="inlineStr">
        <is>
          <t>Нет</t>
        </is>
      </c>
      <c r="Q10" s="8" t="inlineStr">
        <is>
          <t>Без изменения</t>
        </is>
      </c>
      <c r="R10" s="9" t="inlineStr">
        <is>
          <t>Высокая: количество и цена из КС-2</t>
        </is>
      </c>
    </row>
    <row r="11">
      <c r="A11" s="2" t="inlineStr">
        <is>
          <t>КС 2,3 № 4 от 20.10.2025 на 22 227 089,62.pdf</t>
        </is>
      </c>
      <c r="B11" s="2" t="inlineStr">
        <is>
          <t>КС-2 №6</t>
        </is>
      </c>
      <c r="C11" s="2" t="inlineStr">
        <is>
          <t>БГ-1-050525-МП</t>
        </is>
      </c>
      <c r="D11" s="3" t="inlineStr">
        <is>
          <t>Основной раздел</t>
        </is>
      </c>
      <c r="E11" s="3" t="inlineStr">
        <is>
          <t>Арматура Ø16 А500, с учетом доставки</t>
        </is>
      </c>
      <c r="F11" s="2" t="inlineStr">
        <is>
          <t>Арматура A500 Ø16</t>
        </is>
      </c>
      <c r="G11" s="2" t="inlineStr">
        <is>
          <t>A500</t>
        </is>
      </c>
      <c r="H11" s="4" t="n">
        <v>16</v>
      </c>
      <c r="I11" s="5" t="n">
        <v>10.293</v>
      </c>
      <c r="J11" s="6" t="n">
        <v>43333.33</v>
      </c>
      <c r="K11" s="6" t="n">
        <v>43333.33</v>
      </c>
      <c r="L11" s="6" t="n">
        <v>52000</v>
      </c>
      <c r="M11" s="6">
        <f>I11*J11</f>
        <v/>
      </c>
      <c r="N11" s="6">
        <f>I11*K11</f>
        <v/>
      </c>
      <c r="O11" s="6">
        <f>N11-M11</f>
        <v/>
      </c>
      <c r="P11" s="7" t="inlineStr">
        <is>
          <t>Нет</t>
        </is>
      </c>
      <c r="Q11" s="8" t="inlineStr">
        <is>
          <t>Без изменения</t>
        </is>
      </c>
      <c r="R11" s="9" t="inlineStr">
        <is>
          <t>Высокая: количество и цена из КС-2</t>
        </is>
      </c>
    </row>
    <row r="12">
      <c r="A12" s="2" t="inlineStr">
        <is>
          <t>КС 2,3 № 4 от 20.10.2025 на 22 227 089,62.pdf</t>
        </is>
      </c>
      <c r="B12" s="2" t="inlineStr">
        <is>
          <t>КС-2 №6</t>
        </is>
      </c>
      <c r="C12" s="2" t="inlineStr">
        <is>
          <t>БГ-1-050525-МП</t>
        </is>
      </c>
      <c r="D12" s="3" t="inlineStr">
        <is>
          <t>Основной раздел</t>
        </is>
      </c>
      <c r="E12" s="3" t="inlineStr">
        <is>
          <t>Арматура Ø: 2 А500, с учетом доставки</t>
        </is>
      </c>
      <c r="F12" s="2" t="inlineStr">
        <is>
          <t>Арматура Ø: 2 А500, с учетом доставки</t>
        </is>
      </c>
      <c r="G12" s="2" t="n"/>
      <c r="H12" s="4" t="n">
        <v/>
      </c>
      <c r="I12" s="5" t="n">
        <v>0.237</v>
      </c>
      <c r="J12" s="6" t="n">
        <v>43750</v>
      </c>
      <c r="K12" s="6" t="n">
        <v>43750</v>
      </c>
      <c r="L12" s="6" t="n">
        <v>52500</v>
      </c>
      <c r="M12" s="6">
        <f>I12*J12</f>
        <v/>
      </c>
      <c r="N12" s="6">
        <f>I12*K12</f>
        <v/>
      </c>
      <c r="O12" s="6">
        <f>N12-M12</f>
        <v/>
      </c>
      <c r="P12" s="7" t="inlineStr">
        <is>
          <t>Нет</t>
        </is>
      </c>
      <c r="Q12" s="8" t="inlineStr">
        <is>
          <t>Без изменения</t>
        </is>
      </c>
      <c r="R12" s="9" t="inlineStr">
        <is>
          <t>Высокая: количество и цена из КС-2</t>
        </is>
      </c>
    </row>
    <row r="13">
      <c r="A13" s="2" t="inlineStr">
        <is>
          <t>КС 2,3 № 4 от 20.10.2025 на 22 227 089,62.pdf</t>
        </is>
      </c>
      <c r="B13" s="2" t="inlineStr">
        <is>
          <t>КС-2 №6</t>
        </is>
      </c>
      <c r="C13" s="2" t="inlineStr">
        <is>
          <t>БГ-1-050525-МП</t>
        </is>
      </c>
      <c r="D13" s="3" t="inlineStr">
        <is>
          <t>Основной раздел</t>
        </is>
      </c>
      <c r="E13" s="3" t="inlineStr">
        <is>
          <t>Арматура 10 А500, с учетом доставки</t>
        </is>
      </c>
      <c r="F13" s="2" t="inlineStr">
        <is>
          <t>Арматура A500 Ø10</t>
        </is>
      </c>
      <c r="G13" s="2" t="inlineStr">
        <is>
          <t>A500</t>
        </is>
      </c>
      <c r="H13" s="4" t="n">
        <v>10</v>
      </c>
      <c r="I13" s="5" t="n">
        <v>12.341</v>
      </c>
      <c r="J13" s="6" t="n">
        <v>45000</v>
      </c>
      <c r="K13" s="6" t="n">
        <v>45000</v>
      </c>
      <c r="L13" s="6" t="n">
        <v>54000</v>
      </c>
      <c r="M13" s="6">
        <f>I13*J13</f>
        <v/>
      </c>
      <c r="N13" s="6">
        <f>I13*K13</f>
        <v/>
      </c>
      <c r="O13" s="6">
        <f>N13-M13</f>
        <v/>
      </c>
      <c r="P13" s="7" t="inlineStr">
        <is>
          <t>Нет</t>
        </is>
      </c>
      <c r="Q13" s="8" t="inlineStr">
        <is>
          <t>Без изменения</t>
        </is>
      </c>
      <c r="R13" s="9" t="inlineStr">
        <is>
          <t>Высокая: количество и цена из КС-2</t>
        </is>
      </c>
    </row>
    <row r="14">
      <c r="A14" s="2" t="inlineStr">
        <is>
          <t>КС 2,3 № 4 от 20.10.2025 на 22 227 089,62.pdf</t>
        </is>
      </c>
      <c r="B14" s="2" t="inlineStr">
        <is>
          <t>КС-2 №6</t>
        </is>
      </c>
      <c r="C14" s="2" t="inlineStr">
        <is>
          <t>БГ-1-050525-МП</t>
        </is>
      </c>
      <c r="D14" s="3" t="inlineStr">
        <is>
          <t>Основной раздел</t>
        </is>
      </c>
      <c r="E14" s="3" t="inlineStr">
        <is>
          <t>Арматура @8 А500, с учетом доставки</t>
        </is>
      </c>
      <c r="F14" s="2" t="inlineStr">
        <is>
          <t>Арматура A500 Ø8</t>
        </is>
      </c>
      <c r="G14" s="2" t="inlineStr">
        <is>
          <t>A500</t>
        </is>
      </c>
      <c r="H14" s="4" t="n">
        <v>8</v>
      </c>
      <c r="I14" s="5" t="n">
        <v>0.924</v>
      </c>
      <c r="J14" s="6" t="n">
        <v>49166.67</v>
      </c>
      <c r="K14" s="6" t="n">
        <v>50000</v>
      </c>
      <c r="L14" s="6" t="n">
        <v>60000</v>
      </c>
      <c r="M14" s="6">
        <f>I14*J14</f>
        <v/>
      </c>
      <c r="N14" s="6">
        <f>I14*K14</f>
        <v/>
      </c>
      <c r="O14" s="6">
        <f>N14-M14</f>
        <v/>
      </c>
      <c r="P14" s="10" t="inlineStr">
        <is>
          <t>Да</t>
        </is>
      </c>
      <c r="Q14" s="11" t="inlineStr">
        <is>
          <t>Удорожание</t>
        </is>
      </c>
      <c r="R14" s="9" t="inlineStr">
        <is>
          <t>Высокая: количество из КС-2, цена из расчета</t>
        </is>
      </c>
    </row>
    <row r="15">
      <c r="A15" s="2" t="inlineStr">
        <is>
          <t>КС 2,3 № 4 от 20.10.2025 на 22 227 089,62.pdf</t>
        </is>
      </c>
      <c r="B15" s="2" t="inlineStr">
        <is>
          <t>КС-2 №6</t>
        </is>
      </c>
      <c r="C15" s="2" t="inlineStr">
        <is>
          <t>БГ-1-050525-МП</t>
        </is>
      </c>
      <c r="D15" s="3" t="inlineStr">
        <is>
          <t>Основной раздел</t>
        </is>
      </c>
      <c r="E15" s="3" t="inlineStr">
        <is>
          <t>Арматура Ø8 А240, с учетом доставки</t>
        </is>
      </c>
      <c r="F15" s="2" t="inlineStr">
        <is>
          <t>Арматура A240 Ø8</t>
        </is>
      </c>
      <c r="G15" s="2" t="inlineStr">
        <is>
          <t>A240</t>
        </is>
      </c>
      <c r="H15" s="4" t="n">
        <v>8</v>
      </c>
      <c r="I15" s="5" t="n">
        <v>0.237</v>
      </c>
      <c r="J15" s="6" t="n">
        <v>49166.67</v>
      </c>
      <c r="K15" s="6" t="n">
        <v>50000</v>
      </c>
      <c r="L15" s="6" t="n">
        <v>60000</v>
      </c>
      <c r="M15" s="6">
        <f>I15*J15</f>
        <v/>
      </c>
      <c r="N15" s="6">
        <f>I15*K15</f>
        <v/>
      </c>
      <c r="O15" s="6">
        <f>N15-M15</f>
        <v/>
      </c>
      <c r="P15" s="10" t="inlineStr">
        <is>
          <t>Да</t>
        </is>
      </c>
      <c r="Q15" s="11" t="inlineStr">
        <is>
          <t>Удорожание</t>
        </is>
      </c>
      <c r="R15" s="9" t="inlineStr">
        <is>
          <t>Высокая: количество из КС-2, цена из расчета</t>
        </is>
      </c>
    </row>
    <row r="16">
      <c r="C16" s="12" t="inlineStr">
        <is>
          <t>ИТОГО:</t>
        </is>
      </c>
      <c r="I16" s="13">
        <f>SUM(I2:I15)</f>
        <v/>
      </c>
      <c r="M16" s="14">
        <f>SUM(M2:M15)</f>
        <v/>
      </c>
      <c r="N16" s="14">
        <f>SUM(N2:N15)</f>
        <v/>
      </c>
      <c r="O16" s="14">
        <f>SUM(O2:O15)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21" customWidth="1" min="4" max="4"/>
    <col width="12" customWidth="1" min="5" max="5"/>
    <col width="15" customWidth="1" min="6" max="6"/>
    <col width="22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4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4 от 20.10.2025 на 22 227 089,62.pdf</t>
        </is>
      </c>
      <c r="B2" s="2" t="inlineStr">
        <is>
          <t>КС-2 №6</t>
        </is>
      </c>
      <c r="C2" s="2" t="inlineStr">
        <is>
          <t>БГ-1-050525-МП</t>
        </is>
      </c>
      <c r="D2" s="2" t="inlineStr">
        <is>
          <t>Арматура A240 Ø6</t>
        </is>
      </c>
      <c r="E2" s="2" t="inlineStr">
        <is>
          <t>A240</t>
        </is>
      </c>
      <c r="F2" s="4" t="n">
        <v>6</v>
      </c>
      <c r="G2" s="5" t="n">
        <v>0.038</v>
      </c>
      <c r="H2" s="6" t="n">
        <v>49166.67</v>
      </c>
      <c r="I2" s="6" t="n">
        <v>49166.67</v>
      </c>
      <c r="J2" s="6" t="n">
        <v>59000</v>
      </c>
      <c r="K2" s="6">
        <f>G2*H2</f>
        <v/>
      </c>
      <c r="L2" s="6">
        <f>G2*I2</f>
        <v/>
      </c>
      <c r="M2" s="6">
        <f>L2-K2</f>
        <v/>
      </c>
      <c r="N2" s="7" t="inlineStr">
        <is>
          <t>Нет</t>
        </is>
      </c>
      <c r="O2" s="8" t="inlineStr">
        <is>
          <t>Без изменения</t>
        </is>
      </c>
      <c r="P2" s="9" t="inlineStr">
        <is>
          <t>Высокая: количество и цена из КС-2</t>
        </is>
      </c>
    </row>
    <row r="3">
      <c r="A3" s="2" t="inlineStr">
        <is>
          <t>КС 2,3 № 4 от 20.10.2025 на 22 227 089,62.pdf</t>
        </is>
      </c>
      <c r="B3" s="2" t="inlineStr">
        <is>
          <t>КС-2 №6</t>
        </is>
      </c>
      <c r="C3" s="2" t="inlineStr">
        <is>
          <t>БГ-1-050525-МП</t>
        </is>
      </c>
      <c r="D3" s="2" t="inlineStr">
        <is>
          <t>Арматура A240 Ø8</t>
        </is>
      </c>
      <c r="E3" s="2" t="inlineStr">
        <is>
          <t>A240</t>
        </is>
      </c>
      <c r="F3" s="4" t="n">
        <v>8</v>
      </c>
      <c r="G3" s="5" t="n">
        <v>0.237</v>
      </c>
      <c r="H3" s="6" t="n">
        <v>49166.67</v>
      </c>
      <c r="I3" s="6" t="n">
        <v>50000</v>
      </c>
      <c r="J3" s="6" t="n">
        <v>60000</v>
      </c>
      <c r="K3" s="6">
        <f>G3*H3</f>
        <v/>
      </c>
      <c r="L3" s="6">
        <f>G3*I3</f>
        <v/>
      </c>
      <c r="M3" s="6">
        <f>L3-K3</f>
        <v/>
      </c>
      <c r="N3" s="10" t="inlineStr">
        <is>
          <t>Да</t>
        </is>
      </c>
      <c r="O3" s="11" t="inlineStr">
        <is>
          <t>Удорожание</t>
        </is>
      </c>
      <c r="P3" s="9" t="inlineStr">
        <is>
          <t>Высокая: количество из КС-2, цена из расчета</t>
        </is>
      </c>
    </row>
    <row r="4">
      <c r="A4" s="2" t="inlineStr">
        <is>
          <t>КС 2,3 № 4 от 20.10.2025 на 22 227 089,62.pdf</t>
        </is>
      </c>
      <c r="B4" s="2" t="inlineStr">
        <is>
          <t>КС-2 №6</t>
        </is>
      </c>
      <c r="C4" s="2" t="inlineStr">
        <is>
          <t>БГ-1-050525-МП</t>
        </is>
      </c>
      <c r="D4" s="2" t="inlineStr">
        <is>
          <t>Арматура A500 Ø8</t>
        </is>
      </c>
      <c r="E4" s="2" t="inlineStr">
        <is>
          <t>A500</t>
        </is>
      </c>
      <c r="F4" s="4" t="n">
        <v>8</v>
      </c>
      <c r="G4" s="5" t="n">
        <v>1.003</v>
      </c>
      <c r="H4" s="6" t="n">
        <v>49166.67</v>
      </c>
      <c r="I4" s="6" t="n">
        <v>50000</v>
      </c>
      <c r="J4" s="6" t="n">
        <v>60000</v>
      </c>
      <c r="K4" s="6">
        <f>G4*H4</f>
        <v/>
      </c>
      <c r="L4" s="6">
        <f>G4*I4</f>
        <v/>
      </c>
      <c r="M4" s="6">
        <f>L4-K4</f>
        <v/>
      </c>
      <c r="N4" s="10" t="inlineStr">
        <is>
          <t>Да</t>
        </is>
      </c>
      <c r="O4" s="11" t="inlineStr">
        <is>
          <t>Удорожание</t>
        </is>
      </c>
      <c r="P4" s="9" t="inlineStr">
        <is>
          <t>Средняя: часть цен восстановлена</t>
        </is>
      </c>
    </row>
    <row r="5">
      <c r="A5" s="2" t="inlineStr">
        <is>
          <t>КС 2,3 № 4 от 20.10.2025 на 22 227 089,62.pdf</t>
        </is>
      </c>
      <c r="B5" s="2" t="inlineStr">
        <is>
          <t>КС-2 №6</t>
        </is>
      </c>
      <c r="C5" s="2" t="inlineStr">
        <is>
          <t>БГ-1-050525-МП</t>
        </is>
      </c>
      <c r="D5" s="2" t="inlineStr">
        <is>
          <t>Арматура A500 Ø10</t>
        </is>
      </c>
      <c r="E5" s="2" t="inlineStr">
        <is>
          <t>A500</t>
        </is>
      </c>
      <c r="F5" s="4" t="n">
        <v>10</v>
      </c>
      <c r="G5" s="5" t="n">
        <v>14.242</v>
      </c>
      <c r="H5" s="6" t="n">
        <v>45000</v>
      </c>
      <c r="I5" s="6" t="n">
        <v>45000</v>
      </c>
      <c r="J5" s="6" t="n">
        <v>54000</v>
      </c>
      <c r="K5" s="6">
        <f>G5*H5</f>
        <v/>
      </c>
      <c r="L5" s="6">
        <f>G5*I5</f>
        <v/>
      </c>
      <c r="M5" s="6">
        <f>L5-K5</f>
        <v/>
      </c>
      <c r="N5" s="7" t="inlineStr">
        <is>
          <t>Нет</t>
        </is>
      </c>
      <c r="O5" s="8" t="inlineStr">
        <is>
          <t>Без изменения</t>
        </is>
      </c>
      <c r="P5" s="9" t="inlineStr">
        <is>
          <t>Высокая: количество и цена из КС-2</t>
        </is>
      </c>
    </row>
    <row r="6">
      <c r="A6" s="2" t="inlineStr">
        <is>
          <t>КС 2,3 № 4 от 20.10.2025 на 22 227 089,62.pdf</t>
        </is>
      </c>
      <c r="B6" s="2" t="inlineStr">
        <is>
          <t>КС-2 №6</t>
        </is>
      </c>
      <c r="C6" s="2" t="inlineStr">
        <is>
          <t>БГ-1-050525-МП</t>
        </is>
      </c>
      <c r="D6" s="2" t="inlineStr">
        <is>
          <t>Арматура A500 Ø12</t>
        </is>
      </c>
      <c r="E6" s="2" t="inlineStr">
        <is>
          <t>A500</t>
        </is>
      </c>
      <c r="F6" s="4" t="n">
        <v>12</v>
      </c>
      <c r="G6" s="5" t="n">
        <v>2.024</v>
      </c>
      <c r="H6" s="6" t="n">
        <v>43750</v>
      </c>
      <c r="I6" s="6" t="n">
        <v>43750</v>
      </c>
      <c r="J6" s="6" t="n">
        <v>52500</v>
      </c>
      <c r="K6" s="6">
        <f>G6*H6</f>
        <v/>
      </c>
      <c r="L6" s="6">
        <f>G6*I6</f>
        <v/>
      </c>
      <c r="M6" s="6">
        <f>L6-K6</f>
        <v/>
      </c>
      <c r="N6" s="7" t="inlineStr">
        <is>
          <t>Нет</t>
        </is>
      </c>
      <c r="O6" s="8" t="inlineStr">
        <is>
          <t>Без изменения</t>
        </is>
      </c>
      <c r="P6" s="9" t="inlineStr">
        <is>
          <t>Высокая: количество и цена из КС-2</t>
        </is>
      </c>
    </row>
    <row r="7">
      <c r="A7" s="2" t="inlineStr">
        <is>
          <t>КС 2,3 № 4 от 20.10.2025 на 22 227 089,62.pdf</t>
        </is>
      </c>
      <c r="B7" s="2" t="inlineStr">
        <is>
          <t>КС-2 №6</t>
        </is>
      </c>
      <c r="C7" s="2" t="inlineStr">
        <is>
          <t>БГ-1-050525-МП</t>
        </is>
      </c>
      <c r="D7" s="2" t="inlineStr">
        <is>
          <t>Арматура A500 Ø16</t>
        </is>
      </c>
      <c r="E7" s="2" t="inlineStr">
        <is>
          <t>A500</t>
        </is>
      </c>
      <c r="F7" s="4" t="n">
        <v>16</v>
      </c>
      <c r="G7" s="5" t="n">
        <v>10.293</v>
      </c>
      <c r="H7" s="6" t="n">
        <v>43333.33</v>
      </c>
      <c r="I7" s="6" t="n">
        <v>43333.33</v>
      </c>
      <c r="J7" s="6" t="n">
        <v>52000</v>
      </c>
      <c r="K7" s="6">
        <f>G7*H7</f>
        <v/>
      </c>
      <c r="L7" s="6">
        <f>G7*I7</f>
        <v/>
      </c>
      <c r="M7" s="6">
        <f>L7-K7</f>
        <v/>
      </c>
      <c r="N7" s="7" t="inlineStr">
        <is>
          <t>Нет</t>
        </is>
      </c>
      <c r="O7" s="8" t="inlineStr">
        <is>
          <t>Без изменения</t>
        </is>
      </c>
      <c r="P7" s="9" t="inlineStr">
        <is>
          <t>Высокая: количество и цена из КС-2</t>
        </is>
      </c>
    </row>
    <row r="8">
      <c r="A8" s="2" t="inlineStr">
        <is>
          <t>КС 2,3 № 4 от 20.10.2025 на 22 227 089,62.pdf</t>
        </is>
      </c>
      <c r="B8" s="2" t="inlineStr">
        <is>
          <t>КС-2 №6</t>
        </is>
      </c>
      <c r="C8" s="2" t="inlineStr">
        <is>
          <t>БГ-1-050525-МП</t>
        </is>
      </c>
      <c r="D8" s="2" t="inlineStr">
        <is>
          <t>Арматура A500 Ø20</t>
        </is>
      </c>
      <c r="E8" s="2" t="inlineStr">
        <is>
          <t>A500</t>
        </is>
      </c>
      <c r="F8" s="4" t="n">
        <v>20</v>
      </c>
      <c r="G8" s="5" t="n">
        <v>5.369</v>
      </c>
      <c r="H8" s="6" t="n">
        <v>43333.33</v>
      </c>
      <c r="I8" s="6" t="n">
        <v>43333.33</v>
      </c>
      <c r="J8" s="6" t="n">
        <v>52000</v>
      </c>
      <c r="K8" s="6">
        <f>G8*H8</f>
        <v/>
      </c>
      <c r="L8" s="6">
        <f>G8*I8</f>
        <v/>
      </c>
      <c r="M8" s="6">
        <f>L8-K8</f>
        <v/>
      </c>
      <c r="N8" s="7" t="inlineStr">
        <is>
          <t>Нет</t>
        </is>
      </c>
      <c r="O8" s="8" t="inlineStr">
        <is>
          <t>Без изменения</t>
        </is>
      </c>
      <c r="P8" s="9" t="inlineStr">
        <is>
          <t>Высокая: количество и цена из КС-2</t>
        </is>
      </c>
    </row>
    <row r="9">
      <c r="A9" s="2" t="inlineStr">
        <is>
          <t>КС 2,3 № 4 от 20.10.2025 на 22 227 089,62.pdf</t>
        </is>
      </c>
      <c r="B9" s="2" t="inlineStr">
        <is>
          <t>КС-2 №6</t>
        </is>
      </c>
      <c r="C9" s="2" t="inlineStr">
        <is>
          <t>БГ-1-050525-МП</t>
        </is>
      </c>
      <c r="D9" s="2" t="inlineStr">
        <is>
          <t>Арматура A500 Ø25</t>
        </is>
      </c>
      <c r="E9" s="2" t="inlineStr">
        <is>
          <t>A500</t>
        </is>
      </c>
      <c r="F9" s="4" t="n">
        <v>25</v>
      </c>
      <c r="G9" s="5" t="n">
        <v>2.295</v>
      </c>
      <c r="H9" s="6" t="n">
        <v>43333.33</v>
      </c>
      <c r="I9" s="6" t="n">
        <v>43333.33</v>
      </c>
      <c r="J9" s="6" t="n">
        <v>52000</v>
      </c>
      <c r="K9" s="6">
        <f>G9*H9</f>
        <v/>
      </c>
      <c r="L9" s="6">
        <f>G9*I9</f>
        <v/>
      </c>
      <c r="M9" s="6">
        <f>L9-K9</f>
        <v/>
      </c>
      <c r="N9" s="7" t="inlineStr">
        <is>
          <t>Нет</t>
        </is>
      </c>
      <c r="O9" s="8" t="inlineStr">
        <is>
          <t>Без изменения</t>
        </is>
      </c>
      <c r="P9" s="9" t="inlineStr">
        <is>
          <t>Высокая: количество и цена из КС-2</t>
        </is>
      </c>
    </row>
    <row r="10">
      <c r="A10" s="2" t="inlineStr">
        <is>
          <t>КС 2,3 № 4 от 20.10.2025 на 22 227 089,62.pdf</t>
        </is>
      </c>
      <c r="B10" s="2" t="inlineStr">
        <is>
          <t>КС-2 №6</t>
        </is>
      </c>
      <c r="C10" s="2" t="inlineStr">
        <is>
          <t>БГ-1-050525-МП</t>
        </is>
      </c>
      <c r="D10" s="2" t="inlineStr">
        <is>
          <t>Арматура A500 Ø28</t>
        </is>
      </c>
      <c r="E10" s="2" t="inlineStr">
        <is>
          <t>A500</t>
        </is>
      </c>
      <c r="F10" s="4" t="n">
        <v>28</v>
      </c>
      <c r="G10" s="5" t="n">
        <v>1.192</v>
      </c>
      <c r="H10" s="6" t="n">
        <v>43333.33</v>
      </c>
      <c r="I10" s="6" t="n">
        <v>43333.33</v>
      </c>
      <c r="J10" s="6" t="n">
        <v>52000</v>
      </c>
      <c r="K10" s="6">
        <f>G10*H10</f>
        <v/>
      </c>
      <c r="L10" s="6">
        <f>G10*I10</f>
        <v/>
      </c>
      <c r="M10" s="6">
        <f>L10-K10</f>
        <v/>
      </c>
      <c r="N10" s="7" t="inlineStr">
        <is>
          <t>Нет</t>
        </is>
      </c>
      <c r="O10" s="8" t="inlineStr">
        <is>
          <t>Без изменения</t>
        </is>
      </c>
      <c r="P10" s="9" t="inlineStr">
        <is>
          <t>Высокая: количество и цена из КС-2</t>
        </is>
      </c>
    </row>
    <row r="11">
      <c r="A11" s="2" t="inlineStr">
        <is>
          <t>КС 2,3 № 4 от 20.10.2025 на 22 227 089,62.pdf</t>
        </is>
      </c>
      <c r="B11" s="2" t="inlineStr">
        <is>
          <t>КС-2 №6</t>
        </is>
      </c>
      <c r="C11" s="2" t="inlineStr">
        <is>
          <t>БГ-1-050525-МП</t>
        </is>
      </c>
      <c r="D11" s="2" t="inlineStr">
        <is>
          <t>Арматура A240 Ø28</t>
        </is>
      </c>
      <c r="E11" s="2" t="inlineStr">
        <is>
          <t>A240</t>
        </is>
      </c>
      <c r="F11" s="4" t="n">
        <v>28</v>
      </c>
      <c r="G11" s="5" t="n">
        <v>0.19</v>
      </c>
      <c r="H11" s="6" t="n">
        <v>49166.67</v>
      </c>
      <c r="I11" s="6" t="n">
        <v>49166.67</v>
      </c>
      <c r="J11" s="6" t="n">
        <v>59000</v>
      </c>
      <c r="K11" s="6">
        <f>G11*H11</f>
        <v/>
      </c>
      <c r="L11" s="6">
        <f>G11*I11</f>
        <v/>
      </c>
      <c r="M11" s="6">
        <f>L11-K11</f>
        <v/>
      </c>
      <c r="N11" s="7" t="inlineStr">
        <is>
          <t>Нет</t>
        </is>
      </c>
      <c r="O11" s="8" t="inlineStr">
        <is>
          <t>Без изменения</t>
        </is>
      </c>
      <c r="P11" s="9" t="inlineStr">
        <is>
          <t>Высокая: количество и цена из КС-2</t>
        </is>
      </c>
    </row>
    <row r="12">
      <c r="C12" s="12" t="inlineStr">
        <is>
          <t>ИТОГО:</t>
        </is>
      </c>
      <c r="G12" s="13">
        <f>SUM(G2:G11)</f>
        <v/>
      </c>
      <c r="K12" s="14">
        <f>SUM(K2:K11)</f>
        <v/>
      </c>
      <c r="L12" s="14">
        <f>SUM(L2:L11)</f>
        <v/>
      </c>
      <c r="M12" s="14">
        <f>SUM(M2:M11)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2026-07-07T12:44:04Z</dcterms:created>
  <dcterms:modified xmlns:dcterms="http://purl.org/dc/terms/" xmlns:xsi="http://www.w3.org/2001/XMLSchema-instance" xsi:type="dcterms:W3CDTF">2026-07-07T12:44:04Z</dcterms:modified>
</cp:coreProperties>
</file>