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изация по разделам" sheetId="1" state="visible" r:id="rId1"/>
    <sheet xmlns:r="http://schemas.openxmlformats.org/officeDocument/2006/relationships" name="Сводная по цен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164" fontId="3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8" customWidth="1" min="3" max="3"/>
    <col width="72" customWidth="1" min="4" max="4"/>
    <col width="40" customWidth="1" min="5" max="5"/>
    <col width="23" customWidth="1" min="6" max="6"/>
    <col width="12" customWidth="1" min="7" max="7"/>
    <col width="15" customWidth="1" min="8" max="8"/>
    <col width="17" customWidth="1" min="9" max="9"/>
    <col width="31" customWidth="1" min="10" max="10"/>
    <col width="35" customWidth="1" min="11" max="11"/>
    <col width="33" customWidth="1" min="12" max="12"/>
    <col width="34" customWidth="1" min="13" max="13"/>
    <col width="38" customWidth="1" min="14" max="14"/>
    <col width="27" customWidth="1" min="15" max="15"/>
    <col width="14" customWidth="1" min="16" max="16"/>
    <col width="17" customWidth="1" min="17" max="17"/>
    <col width="38" customWidth="1" min="18" max="18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Раздел работ</t>
        </is>
      </c>
      <c r="E1" s="1" t="inlineStr">
        <is>
          <t>Наименование арматуры (из документа)</t>
        </is>
      </c>
      <c r="F1" s="1" t="inlineStr">
        <is>
          <t>Арматура (стандарт)</t>
        </is>
      </c>
      <c r="G1" s="1" t="inlineStr">
        <is>
          <t>Класс</t>
        </is>
      </c>
      <c r="H1" s="1" t="inlineStr">
        <is>
          <t>Диаметр, мм</t>
        </is>
      </c>
      <c r="I1" s="1" t="inlineStr">
        <is>
          <t>Количество, т</t>
        </is>
      </c>
      <c r="J1" s="1" t="inlineStr">
        <is>
          <t>Сметная цена без НДС, руб/т</t>
        </is>
      </c>
      <c r="K1" s="1" t="inlineStr">
        <is>
          <t>Фактическая цена без НДС, руб/т</t>
        </is>
      </c>
      <c r="L1" s="1" t="inlineStr">
        <is>
          <t>Фактическая цена с НДС, руб/т</t>
        </is>
      </c>
      <c r="M1" s="1" t="inlineStr">
        <is>
          <t>Сметная стоимость без НДС, руб</t>
        </is>
      </c>
      <c r="N1" s="1" t="inlineStr">
        <is>
          <t>Фактическая стоимость без НДС, руб</t>
        </is>
      </c>
      <c r="O1" s="1" t="inlineStr">
        <is>
          <t>Отклонение без НДС, руб</t>
        </is>
      </c>
      <c r="P1" s="1" t="inlineStr">
        <is>
          <t>Удорожание</t>
        </is>
      </c>
      <c r="Q1" s="1" t="inlineStr">
        <is>
          <t>Тип изменения</t>
        </is>
      </c>
      <c r="R1" s="1" t="inlineStr">
        <is>
          <t>Уверенность</t>
        </is>
      </c>
    </row>
    <row r="2">
      <c r="A2" s="2" t="inlineStr">
        <is>
          <t>КС 2,3 № 5 от 20.10.2025 на 1 237 863,19.pdf</t>
        </is>
      </c>
      <c r="B2" s="2" t="inlineStr">
        <is>
          <t>КС-2</t>
        </is>
      </c>
      <c r="C2" s="2" t="inlineStr">
        <is>
          <t>БГ-1-140325-МП</t>
        </is>
      </c>
      <c r="D2" s="3" t="inlineStr">
        <is>
          <t>отм. - 1,900 (в осях А1/1..А1/9), на отм. -0,850 (в осях А1/9.А1/16)</t>
        </is>
      </c>
      <c r="E2" s="3" t="inlineStr">
        <is>
          <t>Арматура 08 А500, с учетом доставки</t>
        </is>
      </c>
      <c r="F2" s="2" t="inlineStr">
        <is>
          <t>Арматура A500 Ø8</t>
        </is>
      </c>
      <c r="G2" s="2" t="inlineStr">
        <is>
          <t>A500</t>
        </is>
      </c>
      <c r="H2" s="4" t="n">
        <v>8</v>
      </c>
      <c r="I2" s="5" t="n">
        <v>0.039</v>
      </c>
      <c r="J2" s="6" t="n">
        <v>56666.67</v>
      </c>
      <c r="K2" s="6" t="n">
        <v>56666.67</v>
      </c>
      <c r="L2" s="6" t="n">
        <v>68000</v>
      </c>
      <c r="M2" s="6">
        <f>I2*J2</f>
        <v/>
      </c>
      <c r="N2" s="6">
        <f>I2*K2</f>
        <v/>
      </c>
      <c r="O2" s="6">
        <f>N2-M2</f>
        <v/>
      </c>
      <c r="P2" s="7" t="inlineStr">
        <is>
          <t>Нет</t>
        </is>
      </c>
      <c r="Q2" s="8" t="inlineStr">
        <is>
          <t>Без изменения</t>
        </is>
      </c>
      <c r="R2" s="9" t="inlineStr">
        <is>
          <t>Высокая: количество и цена из КС-2</t>
        </is>
      </c>
    </row>
    <row r="3">
      <c r="A3" s="2" t="inlineStr">
        <is>
          <t>КС 2,3 № 5 от 20.10.2025 на 1 237 863,19.pdf</t>
        </is>
      </c>
      <c r="B3" s="2" t="inlineStr">
        <is>
          <t>КС-2</t>
        </is>
      </c>
      <c r="C3" s="2" t="inlineStr">
        <is>
          <t>БГ-1-140325-МП</t>
        </is>
      </c>
      <c r="D3" s="3" t="inlineStr">
        <is>
          <t>отм. - 1,900 (в осях А1/1..А1/9), на отм. -0,850 (в осях А1/9.А1/16)</t>
        </is>
      </c>
      <c r="E3" s="3" t="inlineStr">
        <is>
          <t>Арматура 06 А240, с учетом доставки</t>
        </is>
      </c>
      <c r="F3" s="2" t="inlineStr">
        <is>
          <t>Арматура A240 Ø6</t>
        </is>
      </c>
      <c r="G3" s="2" t="inlineStr">
        <is>
          <t>A240</t>
        </is>
      </c>
      <c r="H3" s="4" t="n">
        <v>6</v>
      </c>
      <c r="I3" s="5" t="n">
        <v>0.145</v>
      </c>
      <c r="J3" s="6" t="n">
        <v>56250</v>
      </c>
      <c r="K3" s="6" t="n">
        <v>56250</v>
      </c>
      <c r="L3" s="6" t="n">
        <v>67500</v>
      </c>
      <c r="M3" s="6">
        <f>I3*J3</f>
        <v/>
      </c>
      <c r="N3" s="6">
        <f>I3*K3</f>
        <v/>
      </c>
      <c r="O3" s="6">
        <f>N3-M3</f>
        <v/>
      </c>
      <c r="P3" s="7" t="inlineStr">
        <is>
          <t>Нет</t>
        </is>
      </c>
      <c r="Q3" s="8" t="inlineStr">
        <is>
          <t>Без изменения</t>
        </is>
      </c>
      <c r="R3" s="9" t="inlineStr">
        <is>
          <t>Высокая: количество и цена из КС-2</t>
        </is>
      </c>
    </row>
    <row r="4">
      <c r="C4" s="10" t="inlineStr">
        <is>
          <t>ИТОГО:</t>
        </is>
      </c>
      <c r="I4" s="11">
        <f>SUM(I2:I3)</f>
        <v/>
      </c>
      <c r="M4" s="12">
        <f>SUM(M2:M3)</f>
        <v/>
      </c>
      <c r="N4" s="12">
        <f>SUM(N2:N3)</f>
        <v/>
      </c>
      <c r="O4" s="12">
        <f>SUM(O2:O3)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8" customWidth="1" min="3" max="3"/>
    <col width="20" customWidth="1" min="4" max="4"/>
    <col width="12" customWidth="1" min="5" max="5"/>
    <col width="15" customWidth="1" min="6" max="6"/>
    <col width="17" customWidth="1" min="7" max="7"/>
    <col width="31" customWidth="1" min="8" max="8"/>
    <col width="35" customWidth="1" min="9" max="9"/>
    <col width="33" customWidth="1" min="10" max="10"/>
    <col width="34" customWidth="1" min="11" max="11"/>
    <col width="38" customWidth="1" min="12" max="12"/>
    <col width="27" customWidth="1" min="13" max="13"/>
    <col width="14" customWidth="1" min="14" max="14"/>
    <col width="17" customWidth="1" min="15" max="15"/>
    <col width="38" customWidth="1" min="16" max="16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Арматура</t>
        </is>
      </c>
      <c r="E1" s="1" t="inlineStr">
        <is>
          <t>Класс</t>
        </is>
      </c>
      <c r="F1" s="1" t="inlineStr">
        <is>
          <t>Диаметр, мм</t>
        </is>
      </c>
      <c r="G1" s="1" t="inlineStr">
        <is>
          <t>Количество, т</t>
        </is>
      </c>
      <c r="H1" s="1" t="inlineStr">
        <is>
          <t>Сметная цена без НДС, руб/т</t>
        </is>
      </c>
      <c r="I1" s="1" t="inlineStr">
        <is>
          <t>Фактическая цена без НДС, руб/т</t>
        </is>
      </c>
      <c r="J1" s="1" t="inlineStr">
        <is>
          <t>Фактическая цена с НДС, руб/т</t>
        </is>
      </c>
      <c r="K1" s="1" t="inlineStr">
        <is>
          <t>Сметная стоимость без НДС, руб</t>
        </is>
      </c>
      <c r="L1" s="1" t="inlineStr">
        <is>
          <t>Фактическая стоимость без НДС, руб</t>
        </is>
      </c>
      <c r="M1" s="1" t="inlineStr">
        <is>
          <t>Отклонение без НДС, руб</t>
        </is>
      </c>
      <c r="N1" s="1" t="inlineStr">
        <is>
          <t>Удорожание</t>
        </is>
      </c>
      <c r="O1" s="1" t="inlineStr">
        <is>
          <t>Тип изменения</t>
        </is>
      </c>
      <c r="P1" s="1" t="inlineStr">
        <is>
          <t>Уверенность</t>
        </is>
      </c>
    </row>
    <row r="2">
      <c r="A2" s="2" t="inlineStr">
        <is>
          <t>КС 2,3 № 5 от 20.10.2025 на 1 237 863,19.pdf</t>
        </is>
      </c>
      <c r="B2" s="2" t="inlineStr">
        <is>
          <t>КС-2</t>
        </is>
      </c>
      <c r="C2" s="2" t="inlineStr">
        <is>
          <t>БГ-1-140325-МП</t>
        </is>
      </c>
      <c r="D2" s="2" t="inlineStr">
        <is>
          <t>Арматура A240 Ø6</t>
        </is>
      </c>
      <c r="E2" s="2" t="inlineStr">
        <is>
          <t>A240</t>
        </is>
      </c>
      <c r="F2" s="4" t="n">
        <v>6</v>
      </c>
      <c r="G2" s="5" t="n">
        <v>0.145</v>
      </c>
      <c r="H2" s="6" t="n">
        <v>56250</v>
      </c>
      <c r="I2" s="6" t="n">
        <v>56250</v>
      </c>
      <c r="J2" s="6" t="n">
        <v>67500</v>
      </c>
      <c r="K2" s="6">
        <f>G2*H2</f>
        <v/>
      </c>
      <c r="L2" s="6">
        <f>G2*I2</f>
        <v/>
      </c>
      <c r="M2" s="6">
        <f>L2-K2</f>
        <v/>
      </c>
      <c r="N2" s="7" t="inlineStr">
        <is>
          <t>Нет</t>
        </is>
      </c>
      <c r="O2" s="8" t="inlineStr">
        <is>
          <t>Без изменения</t>
        </is>
      </c>
      <c r="P2" s="9" t="inlineStr">
        <is>
          <t>Высокая: количество и цена из КС-2</t>
        </is>
      </c>
    </row>
    <row r="3">
      <c r="A3" s="2" t="inlineStr">
        <is>
          <t>КС 2,3 № 5 от 20.10.2025 на 1 237 863,19.pdf</t>
        </is>
      </c>
      <c r="B3" s="2" t="inlineStr">
        <is>
          <t>КС-2</t>
        </is>
      </c>
      <c r="C3" s="2" t="inlineStr">
        <is>
          <t>БГ-1-140325-МП</t>
        </is>
      </c>
      <c r="D3" s="2" t="inlineStr">
        <is>
          <t>Арматура A500 Ø8</t>
        </is>
      </c>
      <c r="E3" s="2" t="inlineStr">
        <is>
          <t>A500</t>
        </is>
      </c>
      <c r="F3" s="4" t="n">
        <v>8</v>
      </c>
      <c r="G3" s="5" t="n">
        <v>0.039</v>
      </c>
      <c r="H3" s="6" t="n">
        <v>56666.67</v>
      </c>
      <c r="I3" s="6" t="n">
        <v>56666.67</v>
      </c>
      <c r="J3" s="6" t="n">
        <v>68000</v>
      </c>
      <c r="K3" s="6">
        <f>G3*H3</f>
        <v/>
      </c>
      <c r="L3" s="6">
        <f>G3*I3</f>
        <v/>
      </c>
      <c r="M3" s="6">
        <f>L3-K3</f>
        <v/>
      </c>
      <c r="N3" s="7" t="inlineStr">
        <is>
          <t>Нет</t>
        </is>
      </c>
      <c r="O3" s="8" t="inlineStr">
        <is>
          <t>Без изменения</t>
        </is>
      </c>
      <c r="P3" s="9" t="inlineStr">
        <is>
          <t>Высокая: количество и цена из КС-2</t>
        </is>
      </c>
    </row>
    <row r="4">
      <c r="C4" s="10" t="inlineStr">
        <is>
          <t>ИТОГО:</t>
        </is>
      </c>
      <c r="G4" s="11">
        <f>SUM(G2:G3)</f>
        <v/>
      </c>
      <c r="K4" s="12">
        <f>SUM(K2:K3)</f>
        <v/>
      </c>
      <c r="L4" s="12">
        <f>SUM(L2:L3)</f>
        <v/>
      </c>
      <c r="M4" s="12">
        <f>SUM(M2:M3)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2026-07-07T12:44:05Z</dcterms:created>
  <dcterms:modified xmlns:dcterms="http://purl.org/dc/terms/" xmlns:xsi="http://www.w3.org/2001/XMLSchema-instance" xsi:type="dcterms:W3CDTF">2026-07-07T12:44:05Z</dcterms:modified>
</cp:coreProperties>
</file>